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bello\Desktop\Nithin\Account\Purchase\"/>
    </mc:Choice>
  </mc:AlternateContent>
  <xr:revisionPtr revIDLastSave="0" documentId="13_ncr:1_{EF4116F1-92B4-4327-B46C-FB90D028C4C7}" xr6:coauthVersionLast="47" xr6:coauthVersionMax="47" xr10:uidLastSave="{00000000-0000-0000-0000-000000000000}"/>
  <bookViews>
    <workbookView xWindow="-108" yWindow="-108" windowWidth="23256" windowHeight="12456" xr2:uid="{351EA2F0-4725-44CE-87A5-918517F3E32F}"/>
  </bookViews>
  <sheets>
    <sheet name="Stock List" sheetId="1" r:id="rId1"/>
  </sheets>
  <definedNames>
    <definedName name="_xlnm.Print_Area" localSheetId="0">'Stock List'!$A$1:$L$195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0" i="1" l="1"/>
  <c r="C218" i="1"/>
  <c r="J213" i="1"/>
  <c r="H218" i="1"/>
  <c r="I215" i="1"/>
  <c r="H215" i="1"/>
  <c r="G215" i="1"/>
  <c r="H104" i="1"/>
  <c r="H105" i="1"/>
  <c r="H106" i="1"/>
  <c r="H107" i="1"/>
  <c r="H108" i="1"/>
  <c r="H103" i="1"/>
  <c r="H92" i="1"/>
  <c r="H93" i="1"/>
  <c r="H91" i="1"/>
  <c r="H87" i="1"/>
  <c r="H88" i="1"/>
  <c r="H80" i="1"/>
  <c r="H81" i="1"/>
  <c r="H82" i="1"/>
  <c r="H83" i="1"/>
  <c r="H84" i="1"/>
  <c r="H79" i="1"/>
  <c r="H122" i="1"/>
  <c r="H111" i="1"/>
  <c r="H115" i="1"/>
  <c r="H116" i="1"/>
  <c r="H117" i="1"/>
  <c r="H119" i="1"/>
  <c r="H120" i="1"/>
  <c r="H121" i="1"/>
  <c r="H114" i="1"/>
  <c r="H64" i="1"/>
  <c r="H65" i="1"/>
  <c r="H63" i="1"/>
  <c r="H48" i="1"/>
  <c r="H36" i="1"/>
  <c r="H76" i="1"/>
  <c r="H75" i="1"/>
  <c r="H72" i="1"/>
  <c r="H71" i="1"/>
  <c r="H70" i="1"/>
  <c r="H69" i="1"/>
  <c r="H59" i="1"/>
  <c r="H60" i="1"/>
  <c r="H57" i="1"/>
  <c r="H58" i="1"/>
  <c r="H56" i="1"/>
  <c r="H52" i="1"/>
  <c r="H53" i="1"/>
  <c r="H51" i="1"/>
  <c r="H44" i="1"/>
  <c r="H45" i="1"/>
  <c r="H43" i="1"/>
  <c r="H40" i="1"/>
  <c r="H39" i="1"/>
  <c r="H33" i="1"/>
  <c r="H30" i="1"/>
  <c r="H29" i="1"/>
  <c r="H22" i="1"/>
  <c r="H21" i="1"/>
  <c r="H20" i="1"/>
  <c r="H19" i="1"/>
  <c r="I19" i="1"/>
  <c r="H18" i="1"/>
  <c r="H17" i="1"/>
  <c r="H23" i="1"/>
  <c r="H24" i="1"/>
  <c r="H25" i="1"/>
  <c r="H2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H210" i="1"/>
  <c r="H211" i="1"/>
  <c r="H212" i="1"/>
  <c r="H209" i="1"/>
  <c r="H206" i="1"/>
  <c r="H174" i="1"/>
  <c r="H184" i="1"/>
  <c r="H173" i="1"/>
  <c r="H175" i="1"/>
  <c r="H176" i="1"/>
  <c r="H177" i="1"/>
  <c r="H178" i="1"/>
  <c r="H179" i="1"/>
  <c r="H180" i="1"/>
  <c r="H181" i="1"/>
  <c r="H182" i="1"/>
  <c r="H183" i="1"/>
  <c r="H172" i="1"/>
  <c r="H202" i="1"/>
  <c r="H199" i="1"/>
  <c r="H188" i="1"/>
  <c r="H189" i="1"/>
  <c r="H190" i="1"/>
  <c r="H191" i="1"/>
  <c r="H192" i="1"/>
  <c r="H193" i="1"/>
  <c r="H194" i="1"/>
  <c r="H195" i="1"/>
  <c r="H187" i="1"/>
  <c r="H169" i="1"/>
  <c r="H168" i="1"/>
  <c r="H158" i="1"/>
  <c r="H159" i="1"/>
  <c r="H157" i="1"/>
  <c r="H163" i="1"/>
  <c r="H164" i="1"/>
  <c r="H165" i="1"/>
  <c r="H162" i="1"/>
  <c r="H138" i="1"/>
  <c r="H145" i="1"/>
  <c r="H146" i="1"/>
  <c r="H147" i="1"/>
  <c r="H148" i="1"/>
  <c r="H149" i="1"/>
  <c r="H150" i="1"/>
  <c r="H151" i="1"/>
  <c r="H152" i="1"/>
  <c r="H153" i="1"/>
  <c r="H154" i="1"/>
  <c r="H139" i="1"/>
  <c r="H140" i="1"/>
  <c r="H141" i="1"/>
  <c r="H142" i="1"/>
  <c r="H143" i="1"/>
  <c r="H144" i="1"/>
  <c r="I142" i="1"/>
  <c r="H135" i="1"/>
  <c r="H130" i="1"/>
  <c r="H127" i="1"/>
  <c r="H128" i="1"/>
  <c r="H129" i="1"/>
  <c r="H131" i="1"/>
  <c r="H132" i="1"/>
  <c r="H133" i="1"/>
  <c r="H134" i="1"/>
  <c r="H126" i="1"/>
  <c r="H125" i="1"/>
  <c r="H98" i="1"/>
  <c r="H99" i="1"/>
  <c r="H100" i="1"/>
  <c r="H97" i="1"/>
  <c r="H96" i="1"/>
  <c r="J92" i="1" l="1"/>
  <c r="J93" i="1"/>
  <c r="J91" i="1"/>
  <c r="I21" i="1"/>
  <c r="J94" i="1"/>
  <c r="L94" i="1" s="1"/>
  <c r="I88" i="1"/>
  <c r="I87" i="1"/>
  <c r="J87" i="1"/>
  <c r="J88" i="1"/>
  <c r="I22" i="1"/>
  <c r="J80" i="1"/>
  <c r="J81" i="1"/>
  <c r="J82" i="1"/>
  <c r="J83" i="1"/>
  <c r="J84" i="1"/>
  <c r="J79" i="1"/>
  <c r="J85" i="1" s="1"/>
  <c r="L85" i="1" s="1"/>
  <c r="J122" i="1"/>
  <c r="J22" i="1"/>
  <c r="J111" i="1"/>
  <c r="J112" i="1" s="1"/>
  <c r="L112" i="1" s="1"/>
  <c r="I143" i="1"/>
  <c r="J116" i="1"/>
  <c r="J117" i="1"/>
  <c r="J119" i="1"/>
  <c r="J120" i="1"/>
  <c r="J121" i="1"/>
  <c r="J114" i="1"/>
  <c r="J115" i="1"/>
  <c r="J118" i="1"/>
  <c r="J64" i="1"/>
  <c r="J65" i="1"/>
  <c r="J63" i="1"/>
  <c r="J48" i="1"/>
  <c r="J49" i="1" s="1"/>
  <c r="L49" i="1" s="1"/>
  <c r="J36" i="1"/>
  <c r="J37" i="1" s="1"/>
  <c r="L37" i="1" s="1"/>
  <c r="I141" i="1"/>
  <c r="J76" i="1"/>
  <c r="J75" i="1"/>
  <c r="J77" i="1" s="1"/>
  <c r="L77" i="1" s="1"/>
  <c r="J72" i="1"/>
  <c r="J71" i="1"/>
  <c r="J70" i="1"/>
  <c r="J69" i="1"/>
  <c r="J73" i="1" s="1"/>
  <c r="L73" i="1" s="1"/>
  <c r="J57" i="1"/>
  <c r="J58" i="1"/>
  <c r="J59" i="1"/>
  <c r="J60" i="1"/>
  <c r="J56" i="1"/>
  <c r="J61" i="1" s="1"/>
  <c r="L61" i="1" s="1"/>
  <c r="J52" i="1"/>
  <c r="J53" i="1"/>
  <c r="J51" i="1"/>
  <c r="J44" i="1"/>
  <c r="J45" i="1"/>
  <c r="J43" i="1"/>
  <c r="J40" i="1"/>
  <c r="J39" i="1"/>
  <c r="J33" i="1"/>
  <c r="J34" i="1" s="1"/>
  <c r="L34" i="1" s="1"/>
  <c r="J30" i="1"/>
  <c r="J29" i="1"/>
  <c r="I20" i="1"/>
  <c r="J19" i="1"/>
  <c r="I18" i="1"/>
  <c r="I17" i="1"/>
  <c r="I23" i="1"/>
  <c r="I24" i="1"/>
  <c r="I25" i="1"/>
  <c r="I2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J210" i="1"/>
  <c r="J206" i="1"/>
  <c r="J207" i="1" s="1"/>
  <c r="L207" i="1" s="1"/>
  <c r="J209" i="1"/>
  <c r="J211" i="1"/>
  <c r="J212" i="1"/>
  <c r="I184" i="1"/>
  <c r="I174" i="1"/>
  <c r="I173" i="1"/>
  <c r="I175" i="1"/>
  <c r="I176" i="1"/>
  <c r="I177" i="1"/>
  <c r="I178" i="1"/>
  <c r="I179" i="1"/>
  <c r="I180" i="1"/>
  <c r="I181" i="1"/>
  <c r="I182" i="1"/>
  <c r="I183" i="1"/>
  <c r="I172" i="1"/>
  <c r="J202" i="1"/>
  <c r="J204" i="1" s="1"/>
  <c r="L204" i="1" s="1"/>
  <c r="J199" i="1"/>
  <c r="J200" i="1" s="1"/>
  <c r="L200" i="1" s="1"/>
  <c r="I168" i="1"/>
  <c r="J188" i="1"/>
  <c r="J190" i="1"/>
  <c r="J191" i="1"/>
  <c r="J192" i="1"/>
  <c r="J193" i="1"/>
  <c r="J194" i="1"/>
  <c r="J195" i="1"/>
  <c r="J187" i="1"/>
  <c r="J189" i="1"/>
  <c r="I169" i="1"/>
  <c r="J158" i="1"/>
  <c r="J163" i="1"/>
  <c r="J164" i="1"/>
  <c r="J165" i="1"/>
  <c r="J162" i="1"/>
  <c r="J159" i="1"/>
  <c r="J157" i="1"/>
  <c r="I139" i="1"/>
  <c r="I140" i="1"/>
  <c r="I153" i="1"/>
  <c r="I152" i="1"/>
  <c r="I151" i="1"/>
  <c r="I150" i="1"/>
  <c r="I149" i="1"/>
  <c r="I148" i="1"/>
  <c r="I147" i="1"/>
  <c r="I154" i="1"/>
  <c r="I146" i="1"/>
  <c r="I145" i="1"/>
  <c r="I144" i="1"/>
  <c r="J142" i="1"/>
  <c r="I138" i="1"/>
  <c r="J138" i="1" s="1"/>
  <c r="I134" i="1"/>
  <c r="I130" i="1"/>
  <c r="I96" i="1"/>
  <c r="I135" i="1"/>
  <c r="I133" i="1"/>
  <c r="I132" i="1"/>
  <c r="I127" i="1"/>
  <c r="I98" i="1"/>
  <c r="I126" i="1"/>
  <c r="I125" i="1"/>
  <c r="I97" i="1"/>
  <c r="I131" i="1"/>
  <c r="I129" i="1"/>
  <c r="I128" i="1"/>
  <c r="I100" i="1"/>
  <c r="I99" i="1"/>
  <c r="J104" i="1" l="1"/>
  <c r="J105" i="1"/>
  <c r="J106" i="1"/>
  <c r="J107" i="1"/>
  <c r="J108" i="1"/>
  <c r="J103" i="1"/>
  <c r="J109" i="1" s="1"/>
  <c r="L109" i="1" s="1"/>
  <c r="J21" i="1"/>
  <c r="J89" i="1"/>
  <c r="L89" i="1" s="1"/>
  <c r="J54" i="1"/>
  <c r="L54" i="1" s="1"/>
  <c r="J66" i="1"/>
  <c r="J67" i="1" s="1"/>
  <c r="L67" i="1" s="1"/>
  <c r="J123" i="1"/>
  <c r="L123" i="1" s="1"/>
  <c r="J41" i="1"/>
  <c r="J143" i="1"/>
  <c r="J31" i="1"/>
  <c r="L31" i="1" s="1"/>
  <c r="J46" i="1"/>
  <c r="L46" i="1" s="1"/>
  <c r="L41" i="1"/>
  <c r="J141" i="1"/>
  <c r="J4" i="1"/>
  <c r="J17" i="1"/>
  <c r="J6" i="1"/>
  <c r="J5" i="1"/>
  <c r="J18" i="1"/>
  <c r="J20" i="1"/>
  <c r="J23" i="1"/>
  <c r="J24" i="1"/>
  <c r="J25" i="1"/>
  <c r="J26" i="1"/>
  <c r="J7" i="1"/>
  <c r="J8" i="1"/>
  <c r="J9" i="1"/>
  <c r="J10" i="1"/>
  <c r="J11" i="1"/>
  <c r="J12" i="1"/>
  <c r="J13" i="1"/>
  <c r="J14" i="1"/>
  <c r="J15" i="1"/>
  <c r="J16" i="1"/>
  <c r="J3" i="1"/>
  <c r="J148" i="1"/>
  <c r="L213" i="1"/>
  <c r="L216" i="1" s="1"/>
  <c r="J184" i="1"/>
  <c r="J174" i="1"/>
  <c r="J144" i="1"/>
  <c r="J173" i="1"/>
  <c r="J175" i="1"/>
  <c r="J176" i="1"/>
  <c r="J177" i="1"/>
  <c r="J178" i="1"/>
  <c r="J179" i="1"/>
  <c r="J180" i="1"/>
  <c r="J181" i="1"/>
  <c r="J182" i="1"/>
  <c r="J183" i="1"/>
  <c r="J172" i="1"/>
  <c r="J197" i="1"/>
  <c r="L197" i="1" s="1"/>
  <c r="J166" i="1"/>
  <c r="L166" i="1" s="1"/>
  <c r="J160" i="1"/>
  <c r="L160" i="1" s="1"/>
  <c r="J168" i="1"/>
  <c r="J169" i="1"/>
  <c r="J149" i="1"/>
  <c r="J150" i="1"/>
  <c r="J151" i="1"/>
  <c r="J152" i="1"/>
  <c r="J139" i="1"/>
  <c r="J153" i="1"/>
  <c r="J140" i="1"/>
  <c r="J132" i="1"/>
  <c r="J147" i="1"/>
  <c r="J145" i="1"/>
  <c r="J146" i="1"/>
  <c r="J154" i="1"/>
  <c r="J133" i="1"/>
  <c r="J98" i="1"/>
  <c r="J134" i="1"/>
  <c r="J96" i="1"/>
  <c r="J131" i="1"/>
  <c r="J130" i="1"/>
  <c r="J135" i="1"/>
  <c r="J127" i="1"/>
  <c r="J97" i="1"/>
  <c r="J126" i="1"/>
  <c r="J129" i="1"/>
  <c r="J128" i="1"/>
  <c r="J125" i="1"/>
  <c r="J100" i="1"/>
  <c r="J99" i="1"/>
  <c r="C219" i="1" l="1"/>
  <c r="I218" i="1"/>
  <c r="J27" i="1"/>
  <c r="L27" i="1" s="1"/>
  <c r="J185" i="1"/>
  <c r="L185" i="1" s="1"/>
  <c r="J170" i="1"/>
  <c r="L170" i="1" s="1"/>
  <c r="J155" i="1"/>
  <c r="L155" i="1" s="1"/>
  <c r="J136" i="1"/>
  <c r="J101" i="1"/>
  <c r="K136" i="1" l="1"/>
  <c r="K101" i="1"/>
  <c r="K216" i="1" l="1"/>
  <c r="L136" i="1"/>
  <c r="L101" i="1"/>
</calcChain>
</file>

<file path=xl/sharedStrings.xml><?xml version="1.0" encoding="utf-8"?>
<sst xmlns="http://schemas.openxmlformats.org/spreadsheetml/2006/main" count="220" uniqueCount="174">
  <si>
    <t>Quantity</t>
  </si>
  <si>
    <t>Description Of Goods</t>
  </si>
  <si>
    <t>Total</t>
  </si>
  <si>
    <t>Date</t>
  </si>
  <si>
    <t>Invoice No</t>
  </si>
  <si>
    <t>BD/2026-27/2103</t>
  </si>
  <si>
    <t>JAS/2026-27/0800</t>
  </si>
  <si>
    <t>Rate</t>
  </si>
  <si>
    <t>Grand Total</t>
  </si>
  <si>
    <t>SVA487-(26-27)</t>
  </si>
  <si>
    <t>SELLER</t>
  </si>
  <si>
    <t>BEUON DISTRIBUTORS (2026-27)</t>
  </si>
  <si>
    <t>JA SQUARE (2026-27)</t>
  </si>
  <si>
    <t>KANAKAMTHADATHIL EXPORTS</t>
  </si>
  <si>
    <t>Sri Varshaa Agencies</t>
  </si>
  <si>
    <t>SVA332-(26-27)</t>
  </si>
  <si>
    <t>MRP</t>
  </si>
  <si>
    <t>Disc%</t>
  </si>
  <si>
    <t>Amount</t>
  </si>
  <si>
    <t>GST 18%</t>
  </si>
  <si>
    <t>Kanakamthadathil Exports</t>
  </si>
  <si>
    <t>KE237/26-27</t>
  </si>
  <si>
    <t>IR 12-1-60ML</t>
  </si>
  <si>
    <t>IR 12-19-60ML</t>
  </si>
  <si>
    <t>IR 10-49-60ML</t>
  </si>
  <si>
    <t>IR 8-77-60ML</t>
  </si>
  <si>
    <t>IR 7-57-60ML</t>
  </si>
  <si>
    <t>IR 7-55-60ML</t>
  </si>
  <si>
    <t>Jabini Associates</t>
  </si>
  <si>
    <t>B2B/26-27/1189</t>
  </si>
  <si>
    <t>BD/2026-27/2239</t>
  </si>
  <si>
    <t xml:space="preserve">LOREAL MAJIREL LIFT 13 </t>
  </si>
  <si>
    <t xml:space="preserve">LOREAL MAJIREL WARM BROWN 5.35 </t>
  </si>
  <si>
    <t xml:space="preserve">LOREAL MAJIREL WARM BROWN 8.31 60ML </t>
  </si>
  <si>
    <t xml:space="preserve">LOREAL MAJIREL COOL COVER 9.1 </t>
  </si>
  <si>
    <t xml:space="preserve">LOREAL OREOR DEVELOPER-30V-980 ML </t>
  </si>
  <si>
    <t xml:space="preserve">LOREAL OREOR DEVELOPER-40V-1000ML </t>
  </si>
  <si>
    <t xml:space="preserve">LOREAL MAJIREL LIFT 12.5 </t>
  </si>
  <si>
    <t xml:space="preserve">LOREAL MAJIREL LIFT 12.7 </t>
  </si>
  <si>
    <t xml:space="preserve">LOREAL MAJIREL LIFT 12.3 </t>
  </si>
  <si>
    <t>Freight charge 18 %</t>
  </si>
  <si>
    <t xml:space="preserve">AZV SUNSCREEN SPF 50 </t>
  </si>
  <si>
    <t xml:space="preserve">AZV BRIGHTENING FACE WASH </t>
  </si>
  <si>
    <t xml:space="preserve">AZV MULTIVITAMIN POTION </t>
  </si>
  <si>
    <t xml:space="preserve">AZV LIGHTENING EYE SERUM </t>
  </si>
  <si>
    <t xml:space="preserve">AZV NIGHT RECOVERY ELIXIR SERUM </t>
  </si>
  <si>
    <t xml:space="preserve">SSP DEAD SEA SKIN CLARIFYING SERUM 30ML </t>
  </si>
  <si>
    <t xml:space="preserve">SSP DEAD SEA DE-PIGMENTATION SERUM 30ML </t>
  </si>
  <si>
    <t xml:space="preserve">SSP BRIDAL GLOW DE TAN 450GM </t>
  </si>
  <si>
    <t xml:space="preserve">SSP HYDRA FACIAL SKIN LIGHTENING KIT </t>
  </si>
  <si>
    <t xml:space="preserve">SSP BRAZILIAN SKIN LIGHTENING CLEAN UP FULL KIT </t>
  </si>
  <si>
    <t xml:space="preserve">SSP K’S BACKWASH CONDITIONER 5000ML </t>
  </si>
  <si>
    <t xml:space="preserve">SSP K’S BACKWASH ACTIVATOR SHAMPOO 5000ML </t>
  </si>
  <si>
    <t xml:space="preserve">SSP DEAD SEA AHA FOAM CLEANSER 100ML </t>
  </si>
  <si>
    <t xml:space="preserve">SSP DEAD SEA FACE MOISTURIZER 50GM </t>
  </si>
  <si>
    <t xml:space="preserve">SSP DEAD SEA OIL FREE HYDRATOR 50GM </t>
  </si>
  <si>
    <t xml:space="preserve">SSP PEEL OFF MASK ACTIVATED CHARCOAL &amp; DEAD SEA MUD 400GM </t>
  </si>
  <si>
    <t xml:space="preserve">SSP DERMA ICE ACNE CURE &amp; CLARIFYFY FULL KIT </t>
  </si>
  <si>
    <t>JAS/2026-27/09000</t>
  </si>
  <si>
    <t>BD/2026-27/2321</t>
  </si>
  <si>
    <t>KE243/26-27</t>
  </si>
  <si>
    <t>HYDRATING</t>
  </si>
  <si>
    <t>ENRICHING</t>
  </si>
  <si>
    <t>N IGORA 5-7 60 ML</t>
  </si>
  <si>
    <t>IR 7-57 60ML</t>
  </si>
  <si>
    <t>N IGORA 12-0 60 ML</t>
  </si>
  <si>
    <t xml:space="preserve">IQ ZERO AMM 1-0 </t>
  </si>
  <si>
    <t>ZERO AMMI 3-0 60 ML</t>
  </si>
  <si>
    <t>IR OIL DEVELOPER 20VOL</t>
  </si>
  <si>
    <t>IR OIL DEVELOPER 30VOLVOLUME</t>
  </si>
  <si>
    <t>N IGORA 4-0 60 ML</t>
  </si>
  <si>
    <t>IR 4-88 60ML</t>
  </si>
  <si>
    <t>IGORA 6-0</t>
  </si>
  <si>
    <t>N IGORA 3-60 ML</t>
  </si>
  <si>
    <t>HYDRATINO</t>
  </si>
  <si>
    <t>JA SQUARE</t>
  </si>
  <si>
    <t>JAS/2026-27/0995</t>
  </si>
  <si>
    <t>BD/2026-27/2593</t>
  </si>
  <si>
    <t>IRA 7-60-60ML</t>
  </si>
  <si>
    <t>N IGORA 7-50 60 ML</t>
  </si>
  <si>
    <t>IR 4-88-60ML</t>
  </si>
  <si>
    <t>IR 8-46-60ML</t>
  </si>
  <si>
    <t>IGORA L-89</t>
  </si>
  <si>
    <t>IGORA L-44</t>
  </si>
  <si>
    <t>N IGORA 5-57 60 ML</t>
  </si>
  <si>
    <t>IR 5-66-60ML</t>
  </si>
  <si>
    <t>IR 7-65-60ML</t>
  </si>
  <si>
    <t>N IGORA 6-65</t>
  </si>
  <si>
    <t>SPA ANTI HAIRLOSS SERUM</t>
  </si>
  <si>
    <t>SPA ANTI -DANDRUFF SERUM</t>
  </si>
  <si>
    <t>IR OIL DEVELOPER 30VOL</t>
  </si>
  <si>
    <t>IR OIL DEVELOPER 40VOL</t>
  </si>
  <si>
    <t>N IGORA 1-0 60 ML</t>
  </si>
  <si>
    <t>N IGORA 3-0 60 ML</t>
  </si>
  <si>
    <t>IG ZERO AMM 1-0</t>
  </si>
  <si>
    <t>IG ZERO AMM 3-0</t>
  </si>
  <si>
    <t>ROYAL DISTRIBUTORS</t>
  </si>
  <si>
    <t>RD/25-26/0948</t>
  </si>
  <si>
    <t>FLO W ONE SHAMPOO 300ML</t>
  </si>
  <si>
    <t>FLO W ONE CONDITIONER 300ML</t>
  </si>
  <si>
    <t>BD/2026-27/0014</t>
  </si>
  <si>
    <t>KRYO NEBULA SET 6 COL COMPLEXION 2</t>
  </si>
  <si>
    <t>RD/26-27/0044</t>
  </si>
  <si>
    <t>NAINIKAS DISTRIBUTORS</t>
  </si>
  <si>
    <t>ND/26-27/0116</t>
  </si>
  <si>
    <t>KRONE ANTI DANDRUFF CONTROL MASQUE 100ML</t>
  </si>
  <si>
    <t>RG RADIANT TONE GLOW TONIC 100ML</t>
  </si>
  <si>
    <t>ND/26-27/0140</t>
  </si>
  <si>
    <t>BE COPACOBANA PROTEIN TREATMENT 1000ML</t>
  </si>
  <si>
    <t>BE QOD ARGAN SHAMPOO 300ML</t>
  </si>
  <si>
    <t>BE QOD ARGAN CONDITIONER 300ML</t>
  </si>
  <si>
    <t>RD/26-27/0053</t>
  </si>
  <si>
    <t>FLO W AONE NANOPLASTIA TREATMENT 1000ML</t>
  </si>
  <si>
    <t>FLO BLUETOX TREATMENT 1000ML</t>
  </si>
  <si>
    <t>BD/2026-27/0796</t>
  </si>
  <si>
    <t>CARESS SHAMPOO WHITE 10 LTRS</t>
  </si>
  <si>
    <t>CARESS HAIR CONDITIONER 5 LTRS</t>
  </si>
  <si>
    <t>JAS/2026-27/0309</t>
  </si>
  <si>
    <t>KEUNE BOND FUSION PHASE 1 500ML</t>
  </si>
  <si>
    <t>KEUNE BOND FUSION PHASE 2 500ML</t>
  </si>
  <si>
    <t>VELORA BEAUTY AGENCIES</t>
  </si>
  <si>
    <t>SURGICAL GLOVES</t>
  </si>
  <si>
    <t>7;0 CLOCK BLADE</t>
  </si>
  <si>
    <t>NECK ROLL</t>
  </si>
  <si>
    <t>YDLY AIR PKT</t>
  </si>
  <si>
    <t>BN BRAZILIAN BLACK HENNA</t>
  </si>
  <si>
    <t>BN NATURAL BLACK HENNA</t>
  </si>
  <si>
    <t>SHZ KIT GOLD</t>
  </si>
  <si>
    <t>SHZ KIT DIAMOND</t>
  </si>
  <si>
    <t>MC SHAVING GEL</t>
  </si>
  <si>
    <t>STRX PRO SERUM</t>
  </si>
  <si>
    <t>MG SHAVING GEL</t>
  </si>
  <si>
    <t>SHOWER CAP10PC</t>
  </si>
  <si>
    <t>MG ASL COOL&amp;COOL 900ML</t>
  </si>
  <si>
    <t>ALUPAE A FOIL</t>
  </si>
  <si>
    <t>SARA DIAMOND SINGLE FACIAL KIT IMPROVED(40 GM)</t>
  </si>
  <si>
    <t>SARA GOLD SINGLE FACIAL KIT IMPROVED(40 GM)</t>
  </si>
  <si>
    <t>O3 PLUS CPD GOLD INFUSION FACIAL SINGLE</t>
  </si>
  <si>
    <t>O3 PLUS CPD ANTI AGEING SINGLE DOSE KIT (45G)</t>
  </si>
  <si>
    <t>O3 PLUS CPD D-TAN FACIAL  SINGLE DOSE KIT (45G)</t>
  </si>
  <si>
    <t>N IGORA 6-99 60 ML</t>
  </si>
  <si>
    <t>IGORA L-00</t>
  </si>
  <si>
    <t>IGORA L-88</t>
  </si>
  <si>
    <t>IGORA L-77</t>
  </si>
  <si>
    <t>MK HAIR BOTOX 10000ML (36000)</t>
  </si>
  <si>
    <t>MK REPL. SHAMOO WITH ARGAN OIL 500ML*2</t>
  </si>
  <si>
    <t>MK REPL CONDITIONER 500ML*2</t>
  </si>
  <si>
    <t>GP KERATIN REPAIR SHAMPOO 1000ML</t>
  </si>
  <si>
    <t>GP KERATIN REPAIR MASK 500GM</t>
  </si>
  <si>
    <t>O3 PLUS BRIDAL KIT (RATE 779.66)</t>
  </si>
  <si>
    <t>O3 PLUS PEDILOGIX BUBBLEGUM SINGLE USE KIT (RATE 245.76)</t>
  </si>
  <si>
    <t xml:space="preserve">KEUNE CARE DERMA ACTIVATE LOTION 75 ML </t>
  </si>
  <si>
    <t>MK PROTEIN THERAPY 1000ML</t>
  </si>
  <si>
    <t>KEUNE CARE VITAL NUTRI TON MASK 250ML</t>
  </si>
  <si>
    <t>MK REPL.SHAMPOO WITH ARGAN OIL 300ML</t>
  </si>
  <si>
    <t>MK REPL.CONDITIONER WITH ARGAN OIL 300ML</t>
  </si>
  <si>
    <t>MAJESTIC REPL SHAMPOO 300ML</t>
  </si>
  <si>
    <t>MAJESTIC REPL CONDTIONER 300ML</t>
  </si>
  <si>
    <t>TOTAL</t>
  </si>
  <si>
    <t>WITH TAX</t>
  </si>
  <si>
    <t>WITHOUT TAX</t>
  </si>
  <si>
    <t>KE161/26-27</t>
  </si>
  <si>
    <t>BD/2026-27/1661</t>
  </si>
  <si>
    <t>SS BRAZILIAN SKIN LIGHTENING CLEANUP 6 SEC</t>
  </si>
  <si>
    <t>SS GOLD MOROCCAN FACIAL ANTI AGING 6 SES</t>
  </si>
  <si>
    <t>CARESS HAIR CONDITIONER 5LTRS</t>
  </si>
  <si>
    <t>JAS/2026-27/0676</t>
  </si>
  <si>
    <t>KEUNE CARE VITAL NUTR SPA/CREAMBATH 1000ML</t>
  </si>
  <si>
    <t>KEUNE DEV 6% 20VOL 1000ML</t>
  </si>
  <si>
    <t>KEUNE CARE LONG&amp;STRONG SHAMPOO 300ML</t>
  </si>
  <si>
    <t>KEUNE LONG&amp;STRONG LEAVE IN 100ML</t>
  </si>
  <si>
    <t>KEUNE BOND FUSION PHASE 3 200ML</t>
  </si>
  <si>
    <t>KEUNE TC NO.1</t>
  </si>
  <si>
    <t>TAX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</si>
</sst>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2" fontId="0" fillId="0" borderId="0" xfId="0" applyNumberFormat="1"/>
    <xf numFmtId="0" fontId="0" fillId="2" borderId="3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9" fontId="0" fillId="2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2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14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2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3" xfId="0" applyNumberFormat="1" applyFill="1" applyBorder="1" applyAlignment="1">
      <alignment horizontal="center" vertical="center"/>
    </xf>
    <xf numFmtId="0" fontId="0" fillId="2" borderId="0" xfId="0" applyFill="1"/>
    <xf numFmtId="0" fontId="1" fillId="4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3" xfId="0" applyBorder="1"/>
    <xf numFmtId="14" fontId="0" fillId="2" borderId="1" xfId="0" applyNumberFormat="1" applyFill="1" applyBorder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0" fillId="7" borderId="1" xfId="0" applyFill="1" applyBorder="1"/>
    <xf numFmtId="2" fontId="0" fillId="7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D58B-5921-4981-96DD-407569B45AFB}">
  <dimension ref="A1:M232"/>
  <sheetViews>
    <sheetView tabSelected="1" zoomScaleNormal="100" workbookViewId="0">
      <pane ySplit="1" topLeftCell="A193" activePane="bottomLeft" state="frozen"/>
      <selection pane="bottomLeft" activeCell="C221" sqref="C221"/>
    </sheetView>
  </sheetViews>
  <sheetFormatPr defaultRowHeight="14.4" x14ac:dyDescent="0.3"/>
  <cols>
    <col min="1" max="1" width="10.33203125" bestFit="1" customWidth="1"/>
    <col min="2" max="2" width="28.6640625" customWidth="1"/>
    <col min="3" max="3" width="16.88671875" customWidth="1"/>
    <col min="4" max="4" width="61.33203125" style="50" customWidth="1"/>
    <col min="5" max="5" width="9.109375" customWidth="1"/>
    <col min="6" max="6" width="8.88671875" customWidth="1"/>
    <col min="7" max="7" width="12" customWidth="1"/>
    <col min="8" max="8" width="10.5546875" customWidth="1"/>
    <col min="9" max="9" width="10.21875" customWidth="1"/>
    <col min="10" max="10" width="11.5546875" customWidth="1"/>
    <col min="11" max="11" width="8.44140625" customWidth="1"/>
    <col min="12" max="12" width="10.77734375" customWidth="1"/>
  </cols>
  <sheetData>
    <row r="1" spans="1:12" x14ac:dyDescent="0.3">
      <c r="A1" s="63" t="s">
        <v>3</v>
      </c>
      <c r="B1" s="63" t="s">
        <v>10</v>
      </c>
      <c r="C1" s="63" t="s">
        <v>4</v>
      </c>
      <c r="D1" s="64" t="s">
        <v>1</v>
      </c>
      <c r="E1" s="65" t="s">
        <v>16</v>
      </c>
      <c r="F1" s="65" t="s">
        <v>0</v>
      </c>
      <c r="G1" s="65" t="s">
        <v>7</v>
      </c>
      <c r="H1" s="65" t="s">
        <v>2</v>
      </c>
      <c r="I1" s="65" t="s">
        <v>17</v>
      </c>
      <c r="J1" s="65" t="s">
        <v>18</v>
      </c>
      <c r="K1" s="65" t="s">
        <v>19</v>
      </c>
      <c r="L1" s="65" t="s">
        <v>8</v>
      </c>
    </row>
    <row r="2" spans="1:12" x14ac:dyDescent="0.3">
      <c r="A2" s="66"/>
      <c r="B2" s="66"/>
      <c r="C2" s="66"/>
      <c r="D2" s="67"/>
      <c r="E2" s="68"/>
      <c r="F2" s="68"/>
      <c r="G2" s="68"/>
      <c r="H2" s="68"/>
      <c r="I2" s="68"/>
      <c r="J2" s="68"/>
      <c r="K2" s="68"/>
      <c r="L2" s="68"/>
    </row>
    <row r="3" spans="1:12" x14ac:dyDescent="0.3">
      <c r="A3" s="8">
        <v>46045</v>
      </c>
      <c r="B3" s="7" t="s">
        <v>13</v>
      </c>
      <c r="C3" s="7">
        <v>1067</v>
      </c>
      <c r="D3" s="7" t="s">
        <v>86</v>
      </c>
      <c r="E3" s="12">
        <v>475</v>
      </c>
      <c r="F3" s="11">
        <v>3</v>
      </c>
      <c r="G3" s="11">
        <v>402.54</v>
      </c>
      <c r="H3" s="22">
        <f>SUM(G3*F3)</f>
        <v>1207.6200000000001</v>
      </c>
      <c r="I3" s="23">
        <f>SUM(H3)*0.17</f>
        <v>205.29540000000003</v>
      </c>
      <c r="J3" s="23">
        <f>H3-I3</f>
        <v>1002.3246000000001</v>
      </c>
      <c r="K3" s="11"/>
      <c r="L3" s="11"/>
    </row>
    <row r="4" spans="1:12" x14ac:dyDescent="0.3">
      <c r="A4" s="7"/>
      <c r="B4" s="7"/>
      <c r="C4" s="7"/>
      <c r="D4" s="7" t="s">
        <v>87</v>
      </c>
      <c r="E4" s="12">
        <v>475</v>
      </c>
      <c r="F4" s="11">
        <v>2</v>
      </c>
      <c r="G4" s="11">
        <v>402.54</v>
      </c>
      <c r="H4" s="22">
        <f t="shared" ref="H4:H26" si="0">SUM(G4*F4)</f>
        <v>805.08</v>
      </c>
      <c r="I4" s="23">
        <f t="shared" ref="I4:I26" si="1">SUM(H4)*0.17</f>
        <v>136.86360000000002</v>
      </c>
      <c r="J4" s="23">
        <f t="shared" ref="J4:J26" si="2">H4-I4</f>
        <v>668.21640000000002</v>
      </c>
      <c r="K4" s="11"/>
      <c r="L4" s="11"/>
    </row>
    <row r="5" spans="1:12" x14ac:dyDescent="0.3">
      <c r="A5" s="7"/>
      <c r="B5" s="7"/>
      <c r="C5" s="7"/>
      <c r="D5" s="7" t="s">
        <v>84</v>
      </c>
      <c r="E5" s="12">
        <v>475</v>
      </c>
      <c r="F5" s="11">
        <v>2</v>
      </c>
      <c r="G5" s="11">
        <v>402.54</v>
      </c>
      <c r="H5" s="22">
        <f t="shared" si="0"/>
        <v>805.08</v>
      </c>
      <c r="I5" s="23">
        <f t="shared" si="1"/>
        <v>136.86360000000002</v>
      </c>
      <c r="J5" s="23">
        <f t="shared" si="2"/>
        <v>668.21640000000002</v>
      </c>
      <c r="K5" s="11"/>
      <c r="L5" s="11"/>
    </row>
    <row r="6" spans="1:12" x14ac:dyDescent="0.3">
      <c r="A6" s="7"/>
      <c r="B6" s="7"/>
      <c r="C6" s="7"/>
      <c r="D6" s="7" t="s">
        <v>78</v>
      </c>
      <c r="E6" s="12">
        <v>490</v>
      </c>
      <c r="F6" s="11">
        <v>2</v>
      </c>
      <c r="G6" s="11">
        <v>415.25</v>
      </c>
      <c r="H6" s="22">
        <f t="shared" si="0"/>
        <v>830.5</v>
      </c>
      <c r="I6" s="23">
        <f t="shared" si="1"/>
        <v>141.185</v>
      </c>
      <c r="J6" s="23">
        <f t="shared" si="2"/>
        <v>689.31500000000005</v>
      </c>
      <c r="K6" s="11"/>
      <c r="L6" s="11"/>
    </row>
    <row r="7" spans="1:12" x14ac:dyDescent="0.3">
      <c r="A7" s="7"/>
      <c r="B7" s="7"/>
      <c r="C7" s="7"/>
      <c r="D7" s="7" t="s">
        <v>79</v>
      </c>
      <c r="E7" s="12">
        <v>490</v>
      </c>
      <c r="F7" s="11">
        <v>2</v>
      </c>
      <c r="G7" s="11">
        <v>415.25</v>
      </c>
      <c r="H7" s="22">
        <f t="shared" si="0"/>
        <v>830.5</v>
      </c>
      <c r="I7" s="23">
        <f t="shared" si="1"/>
        <v>141.185</v>
      </c>
      <c r="J7" s="23">
        <f t="shared" si="2"/>
        <v>689.31500000000005</v>
      </c>
      <c r="K7" s="11"/>
      <c r="L7" s="11"/>
    </row>
    <row r="8" spans="1:12" x14ac:dyDescent="0.3">
      <c r="A8" s="7"/>
      <c r="B8" s="7"/>
      <c r="C8" s="7"/>
      <c r="D8" s="7" t="s">
        <v>26</v>
      </c>
      <c r="E8" s="12">
        <v>475</v>
      </c>
      <c r="F8" s="11">
        <v>3</v>
      </c>
      <c r="G8" s="11">
        <v>402.54</v>
      </c>
      <c r="H8" s="22">
        <f t="shared" si="0"/>
        <v>1207.6200000000001</v>
      </c>
      <c r="I8" s="23">
        <f t="shared" si="1"/>
        <v>205.29540000000003</v>
      </c>
      <c r="J8" s="23">
        <f t="shared" si="2"/>
        <v>1002.3246000000001</v>
      </c>
      <c r="K8" s="11"/>
      <c r="L8" s="11"/>
    </row>
    <row r="9" spans="1:12" x14ac:dyDescent="0.3">
      <c r="A9" s="7"/>
      <c r="B9" s="7"/>
      <c r="C9" s="7"/>
      <c r="D9" s="7" t="s">
        <v>80</v>
      </c>
      <c r="E9" s="12">
        <v>475</v>
      </c>
      <c r="F9" s="11">
        <v>6</v>
      </c>
      <c r="G9" s="11">
        <v>402.54</v>
      </c>
      <c r="H9" s="22">
        <f t="shared" si="0"/>
        <v>2415.2400000000002</v>
      </c>
      <c r="I9" s="23">
        <f t="shared" si="1"/>
        <v>410.59080000000006</v>
      </c>
      <c r="J9" s="23">
        <f t="shared" si="2"/>
        <v>2004.6492000000003</v>
      </c>
      <c r="K9" s="11"/>
      <c r="L9" s="11"/>
    </row>
    <row r="10" spans="1:12" x14ac:dyDescent="0.3">
      <c r="A10" s="7"/>
      <c r="B10" s="7"/>
      <c r="C10" s="7"/>
      <c r="D10" s="7" t="s">
        <v>81</v>
      </c>
      <c r="E10" s="12">
        <v>475</v>
      </c>
      <c r="F10" s="11">
        <v>2</v>
      </c>
      <c r="G10" s="11">
        <v>402.54</v>
      </c>
      <c r="H10" s="22">
        <f t="shared" si="0"/>
        <v>805.08</v>
      </c>
      <c r="I10" s="23">
        <f t="shared" si="1"/>
        <v>136.86360000000002</v>
      </c>
      <c r="J10" s="23">
        <f t="shared" si="2"/>
        <v>668.21640000000002</v>
      </c>
      <c r="K10" s="11"/>
      <c r="L10" s="11"/>
    </row>
    <row r="11" spans="1:12" x14ac:dyDescent="0.3">
      <c r="A11" s="7"/>
      <c r="B11" s="7"/>
      <c r="C11" s="7"/>
      <c r="D11" s="7" t="s">
        <v>82</v>
      </c>
      <c r="E11" s="12">
        <v>525</v>
      </c>
      <c r="F11" s="11">
        <v>6</v>
      </c>
      <c r="G11" s="11">
        <v>444.92</v>
      </c>
      <c r="H11" s="22">
        <f t="shared" si="0"/>
        <v>2669.52</v>
      </c>
      <c r="I11" s="23">
        <f t="shared" si="1"/>
        <v>453.81840000000005</v>
      </c>
      <c r="J11" s="23">
        <f t="shared" si="2"/>
        <v>2215.7015999999999</v>
      </c>
      <c r="K11" s="11"/>
      <c r="L11" s="11"/>
    </row>
    <row r="12" spans="1:12" x14ac:dyDescent="0.3">
      <c r="A12" s="7"/>
      <c r="B12" s="7"/>
      <c r="C12" s="7"/>
      <c r="D12" s="7" t="s">
        <v>83</v>
      </c>
      <c r="E12" s="12">
        <v>525</v>
      </c>
      <c r="F12" s="11">
        <v>3</v>
      </c>
      <c r="G12" s="11">
        <v>444.92</v>
      </c>
      <c r="H12" s="22">
        <f t="shared" si="0"/>
        <v>1334.76</v>
      </c>
      <c r="I12" s="23">
        <f t="shared" si="1"/>
        <v>226.90920000000003</v>
      </c>
      <c r="J12" s="23">
        <f t="shared" si="2"/>
        <v>1107.8507999999999</v>
      </c>
      <c r="K12" s="11"/>
      <c r="L12" s="11"/>
    </row>
    <row r="13" spans="1:12" x14ac:dyDescent="0.3">
      <c r="A13" s="7"/>
      <c r="B13" s="7"/>
      <c r="C13" s="7"/>
      <c r="D13" s="7" t="s">
        <v>84</v>
      </c>
      <c r="E13" s="12">
        <v>475</v>
      </c>
      <c r="F13" s="11">
        <v>1</v>
      </c>
      <c r="G13" s="11">
        <v>402.54</v>
      </c>
      <c r="H13" s="22">
        <f t="shared" si="0"/>
        <v>402.54</v>
      </c>
      <c r="I13" s="23">
        <f t="shared" si="1"/>
        <v>68.43180000000001</v>
      </c>
      <c r="J13" s="23">
        <f t="shared" si="2"/>
        <v>334.10820000000001</v>
      </c>
      <c r="K13" s="11"/>
      <c r="L13" s="11"/>
    </row>
    <row r="14" spans="1:12" x14ac:dyDescent="0.3">
      <c r="A14" s="7"/>
      <c r="B14" s="7"/>
      <c r="C14" s="7"/>
      <c r="D14" s="7" t="s">
        <v>63</v>
      </c>
      <c r="E14" s="12">
        <v>475</v>
      </c>
      <c r="F14" s="11">
        <v>2</v>
      </c>
      <c r="G14" s="11">
        <v>402.54</v>
      </c>
      <c r="H14" s="22">
        <f t="shared" si="0"/>
        <v>805.08</v>
      </c>
      <c r="I14" s="23">
        <f t="shared" si="1"/>
        <v>136.86360000000002</v>
      </c>
      <c r="J14" s="23">
        <f t="shared" si="2"/>
        <v>668.21640000000002</v>
      </c>
      <c r="K14" s="11"/>
      <c r="L14" s="11"/>
    </row>
    <row r="15" spans="1:12" x14ac:dyDescent="0.3">
      <c r="A15" s="7"/>
      <c r="B15" s="7"/>
      <c r="C15" s="7"/>
      <c r="D15" s="7" t="s">
        <v>85</v>
      </c>
      <c r="E15" s="12">
        <v>475</v>
      </c>
      <c r="F15" s="11">
        <v>1</v>
      </c>
      <c r="G15" s="11">
        <v>402.54</v>
      </c>
      <c r="H15" s="22">
        <f t="shared" si="0"/>
        <v>402.54</v>
      </c>
      <c r="I15" s="23">
        <f t="shared" si="1"/>
        <v>68.43180000000001</v>
      </c>
      <c r="J15" s="23">
        <f t="shared" si="2"/>
        <v>334.10820000000001</v>
      </c>
      <c r="K15" s="11"/>
      <c r="L15" s="11"/>
    </row>
    <row r="16" spans="1:12" x14ac:dyDescent="0.3">
      <c r="A16" s="7"/>
      <c r="B16" s="7"/>
      <c r="C16" s="7"/>
      <c r="D16" s="7" t="s">
        <v>68</v>
      </c>
      <c r="E16" s="12">
        <v>880</v>
      </c>
      <c r="F16" s="11">
        <v>8</v>
      </c>
      <c r="G16" s="11">
        <v>745.76</v>
      </c>
      <c r="H16" s="22">
        <f t="shared" si="0"/>
        <v>5966.08</v>
      </c>
      <c r="I16" s="23">
        <f t="shared" si="1"/>
        <v>1014.2336</v>
      </c>
      <c r="J16" s="23">
        <f t="shared" si="2"/>
        <v>4951.8464000000004</v>
      </c>
      <c r="K16" s="11"/>
      <c r="L16" s="11"/>
    </row>
    <row r="17" spans="1:12" x14ac:dyDescent="0.3">
      <c r="A17" s="7"/>
      <c r="B17" s="7"/>
      <c r="C17" s="7"/>
      <c r="D17" s="7" t="s">
        <v>90</v>
      </c>
      <c r="E17" s="12">
        <v>880</v>
      </c>
      <c r="F17" s="11">
        <v>3</v>
      </c>
      <c r="G17" s="11">
        <v>745.76</v>
      </c>
      <c r="H17" s="22">
        <f t="shared" si="0"/>
        <v>2237.2799999999997</v>
      </c>
      <c r="I17" s="23">
        <f t="shared" si="1"/>
        <v>380.33760000000001</v>
      </c>
      <c r="J17" s="23">
        <f t="shared" si="2"/>
        <v>1856.9423999999997</v>
      </c>
      <c r="K17" s="11"/>
      <c r="L17" s="11"/>
    </row>
    <row r="18" spans="1:12" x14ac:dyDescent="0.3">
      <c r="A18" s="7"/>
      <c r="B18" s="7"/>
      <c r="C18" s="7"/>
      <c r="D18" s="7" t="s">
        <v>91</v>
      </c>
      <c r="E18" s="12">
        <v>880</v>
      </c>
      <c r="F18" s="11">
        <v>1</v>
      </c>
      <c r="G18" s="11">
        <v>745.76</v>
      </c>
      <c r="H18" s="22">
        <f t="shared" si="0"/>
        <v>745.76</v>
      </c>
      <c r="I18" s="23">
        <f t="shared" si="1"/>
        <v>126.7792</v>
      </c>
      <c r="J18" s="23">
        <f t="shared" si="2"/>
        <v>618.98080000000004</v>
      </c>
      <c r="K18" s="11"/>
      <c r="L18" s="11"/>
    </row>
    <row r="19" spans="1:12" x14ac:dyDescent="0.3">
      <c r="A19" s="7"/>
      <c r="B19" s="7"/>
      <c r="C19" s="7"/>
      <c r="D19" s="7" t="s">
        <v>92</v>
      </c>
      <c r="E19" s="12">
        <v>475</v>
      </c>
      <c r="F19" s="11">
        <v>10</v>
      </c>
      <c r="G19" s="11">
        <v>402.54</v>
      </c>
      <c r="H19" s="22">
        <f t="shared" si="0"/>
        <v>4025.4</v>
      </c>
      <c r="I19" s="23">
        <f t="shared" si="1"/>
        <v>684.3180000000001</v>
      </c>
      <c r="J19" s="23">
        <f t="shared" si="2"/>
        <v>3341.0819999999999</v>
      </c>
      <c r="K19" s="11"/>
      <c r="L19" s="11"/>
    </row>
    <row r="20" spans="1:12" x14ac:dyDescent="0.3">
      <c r="A20" s="7"/>
      <c r="B20" s="7"/>
      <c r="C20" s="7"/>
      <c r="D20" s="7" t="s">
        <v>93</v>
      </c>
      <c r="E20" s="12">
        <v>475</v>
      </c>
      <c r="F20" s="11">
        <v>10</v>
      </c>
      <c r="G20" s="11">
        <v>402.54</v>
      </c>
      <c r="H20" s="22">
        <f t="shared" si="0"/>
        <v>4025.4</v>
      </c>
      <c r="I20" s="23">
        <f t="shared" si="1"/>
        <v>684.3180000000001</v>
      </c>
      <c r="J20" s="23">
        <f t="shared" si="2"/>
        <v>3341.0819999999999</v>
      </c>
      <c r="K20" s="11"/>
      <c r="L20" s="11"/>
    </row>
    <row r="21" spans="1:12" x14ac:dyDescent="0.3">
      <c r="A21" s="7"/>
      <c r="B21" s="7"/>
      <c r="C21" s="7"/>
      <c r="D21" s="72" t="s">
        <v>94</v>
      </c>
      <c r="E21" s="12">
        <v>550</v>
      </c>
      <c r="F21" s="11">
        <v>15</v>
      </c>
      <c r="G21" s="11">
        <v>466.1</v>
      </c>
      <c r="H21" s="22">
        <f t="shared" si="0"/>
        <v>6991.5</v>
      </c>
      <c r="I21" s="23">
        <f t="shared" si="1"/>
        <v>1188.5550000000001</v>
      </c>
      <c r="J21" s="23">
        <f t="shared" si="2"/>
        <v>5802.9449999999997</v>
      </c>
      <c r="K21" s="11"/>
      <c r="L21" s="11"/>
    </row>
    <row r="22" spans="1:12" x14ac:dyDescent="0.3">
      <c r="A22" s="7"/>
      <c r="B22" s="7"/>
      <c r="C22" s="7"/>
      <c r="D22" s="72" t="s">
        <v>95</v>
      </c>
      <c r="E22" s="12">
        <v>550</v>
      </c>
      <c r="F22" s="11">
        <v>10</v>
      </c>
      <c r="G22" s="11">
        <v>466.1</v>
      </c>
      <c r="H22" s="22">
        <f t="shared" si="0"/>
        <v>4661</v>
      </c>
      <c r="I22" s="23">
        <f t="shared" si="1"/>
        <v>792.37</v>
      </c>
      <c r="J22" s="23">
        <f t="shared" si="2"/>
        <v>3868.63</v>
      </c>
      <c r="K22" s="11"/>
      <c r="L22" s="11"/>
    </row>
    <row r="23" spans="1:12" x14ac:dyDescent="0.3">
      <c r="A23" s="7"/>
      <c r="B23" s="7"/>
      <c r="C23" s="7"/>
      <c r="D23" s="72" t="s">
        <v>61</v>
      </c>
      <c r="E23" s="12">
        <v>660</v>
      </c>
      <c r="F23" s="11">
        <v>12</v>
      </c>
      <c r="G23" s="11">
        <v>559.32000000000005</v>
      </c>
      <c r="H23" s="22">
        <f t="shared" si="0"/>
        <v>6711.84</v>
      </c>
      <c r="I23" s="23">
        <f t="shared" si="1"/>
        <v>1141.0128000000002</v>
      </c>
      <c r="J23" s="23">
        <f t="shared" si="2"/>
        <v>5570.8271999999997</v>
      </c>
      <c r="K23" s="11"/>
      <c r="L23" s="11"/>
    </row>
    <row r="24" spans="1:12" x14ac:dyDescent="0.3">
      <c r="A24" s="7"/>
      <c r="B24" s="7"/>
      <c r="C24" s="7"/>
      <c r="D24" s="72" t="s">
        <v>62</v>
      </c>
      <c r="E24" s="12">
        <v>660</v>
      </c>
      <c r="F24" s="11">
        <v>12</v>
      </c>
      <c r="G24" s="11">
        <v>559.32000000000005</v>
      </c>
      <c r="H24" s="22">
        <f t="shared" si="0"/>
        <v>6711.84</v>
      </c>
      <c r="I24" s="23">
        <f t="shared" si="1"/>
        <v>1141.0128000000002</v>
      </c>
      <c r="J24" s="23">
        <f t="shared" si="2"/>
        <v>5570.8271999999997</v>
      </c>
      <c r="K24" s="11"/>
      <c r="L24" s="11"/>
    </row>
    <row r="25" spans="1:12" x14ac:dyDescent="0.3">
      <c r="A25" s="7"/>
      <c r="B25" s="7"/>
      <c r="C25" s="7"/>
      <c r="D25" s="72" t="s">
        <v>88</v>
      </c>
      <c r="E25" s="12">
        <v>880</v>
      </c>
      <c r="F25" s="11">
        <v>3</v>
      </c>
      <c r="G25" s="11">
        <v>745.76</v>
      </c>
      <c r="H25" s="22">
        <f t="shared" si="0"/>
        <v>2237.2799999999997</v>
      </c>
      <c r="I25" s="23">
        <f t="shared" si="1"/>
        <v>380.33760000000001</v>
      </c>
      <c r="J25" s="23">
        <f t="shared" si="2"/>
        <v>1856.9423999999997</v>
      </c>
      <c r="K25" s="11"/>
      <c r="L25" s="11"/>
    </row>
    <row r="26" spans="1:12" x14ac:dyDescent="0.3">
      <c r="A26" s="7"/>
      <c r="B26" s="7"/>
      <c r="C26" s="7"/>
      <c r="D26" s="21" t="s">
        <v>89</v>
      </c>
      <c r="E26" s="12">
        <v>880</v>
      </c>
      <c r="F26" s="11">
        <v>4</v>
      </c>
      <c r="G26" s="11">
        <v>745.76</v>
      </c>
      <c r="H26" s="22">
        <f t="shared" si="0"/>
        <v>2983.04</v>
      </c>
      <c r="I26" s="23">
        <f t="shared" si="1"/>
        <v>507.11680000000001</v>
      </c>
      <c r="J26" s="23">
        <f t="shared" si="2"/>
        <v>2475.9232000000002</v>
      </c>
      <c r="K26" s="11"/>
      <c r="L26" s="11"/>
    </row>
    <row r="27" spans="1:12" x14ac:dyDescent="0.3">
      <c r="A27" s="7"/>
      <c r="B27" s="7"/>
      <c r="C27" s="7"/>
      <c r="D27" s="21"/>
      <c r="E27" s="12"/>
      <c r="F27" s="11"/>
      <c r="G27" s="11"/>
      <c r="H27" s="11"/>
      <c r="I27" s="11"/>
      <c r="J27" s="14">
        <f>SUM(J3:J26)</f>
        <v>51308.591399999998</v>
      </c>
      <c r="K27" s="11">
        <v>9235.41</v>
      </c>
      <c r="L27" s="23">
        <f>J27+K27</f>
        <v>60544.001399999994</v>
      </c>
    </row>
    <row r="28" spans="1:12" x14ac:dyDescent="0.3">
      <c r="A28" s="31"/>
      <c r="B28" s="31"/>
      <c r="C28" s="31"/>
      <c r="D28" s="27"/>
      <c r="E28" s="37"/>
      <c r="F28" s="53"/>
      <c r="G28" s="53"/>
      <c r="H28" s="53"/>
      <c r="I28" s="53"/>
      <c r="J28" s="53"/>
      <c r="K28" s="53"/>
      <c r="L28" s="53"/>
    </row>
    <row r="29" spans="1:12" x14ac:dyDescent="0.3">
      <c r="A29" s="8">
        <v>46079</v>
      </c>
      <c r="B29" s="7" t="s">
        <v>96</v>
      </c>
      <c r="C29" s="7" t="s">
        <v>97</v>
      </c>
      <c r="D29" s="21" t="s">
        <v>98</v>
      </c>
      <c r="E29" s="12">
        <v>1513</v>
      </c>
      <c r="F29" s="11">
        <v>5</v>
      </c>
      <c r="G29" s="11">
        <v>792.52</v>
      </c>
      <c r="H29" s="22">
        <f t="shared" ref="H29:H30" si="3">SUM(G29*F29)</f>
        <v>3962.6</v>
      </c>
      <c r="I29" s="23">
        <v>0</v>
      </c>
      <c r="J29" s="23">
        <f t="shared" ref="J29:J30" si="4">H29-I29</f>
        <v>3962.6</v>
      </c>
      <c r="K29" s="11"/>
      <c r="L29" s="11"/>
    </row>
    <row r="30" spans="1:12" x14ac:dyDescent="0.3">
      <c r="A30" s="7"/>
      <c r="B30" s="7"/>
      <c r="C30" s="7"/>
      <c r="D30" s="21" t="s">
        <v>99</v>
      </c>
      <c r="E30" s="12">
        <v>1700</v>
      </c>
      <c r="F30" s="11">
        <v>5</v>
      </c>
      <c r="G30" s="11">
        <v>792.37</v>
      </c>
      <c r="H30" s="22">
        <f t="shared" si="3"/>
        <v>3961.85</v>
      </c>
      <c r="I30" s="23">
        <v>0</v>
      </c>
      <c r="J30" s="23">
        <f t="shared" si="4"/>
        <v>3961.85</v>
      </c>
      <c r="K30" s="11"/>
      <c r="L30" s="11"/>
    </row>
    <row r="31" spans="1:12" x14ac:dyDescent="0.3">
      <c r="A31" s="7"/>
      <c r="B31" s="7"/>
      <c r="C31" s="7"/>
      <c r="D31" s="21"/>
      <c r="E31" s="12"/>
      <c r="F31" s="11"/>
      <c r="G31" s="11"/>
      <c r="H31" s="11"/>
      <c r="I31" s="11"/>
      <c r="J31" s="14">
        <f>SUM(J29:J30)</f>
        <v>7924.45</v>
      </c>
      <c r="K31" s="11">
        <v>911.28</v>
      </c>
      <c r="L31" s="23">
        <f>J31+K31</f>
        <v>8835.73</v>
      </c>
    </row>
    <row r="32" spans="1:12" x14ac:dyDescent="0.3">
      <c r="A32" s="31"/>
      <c r="B32" s="31"/>
      <c r="C32" s="31"/>
      <c r="D32" s="27"/>
      <c r="E32" s="37"/>
      <c r="F32" s="53"/>
      <c r="G32" s="53"/>
      <c r="H32" s="53"/>
      <c r="I32" s="53"/>
      <c r="J32" s="53"/>
      <c r="K32" s="53"/>
      <c r="L32" s="53"/>
    </row>
    <row r="33" spans="1:12" x14ac:dyDescent="0.3">
      <c r="A33" s="8">
        <v>46113</v>
      </c>
      <c r="B33" s="8" t="s">
        <v>11</v>
      </c>
      <c r="C33" s="7" t="s">
        <v>100</v>
      </c>
      <c r="D33" s="21" t="s">
        <v>101</v>
      </c>
      <c r="E33" s="12">
        <v>7500</v>
      </c>
      <c r="F33" s="11">
        <v>1</v>
      </c>
      <c r="G33" s="11">
        <v>5720.34</v>
      </c>
      <c r="H33" s="22">
        <f t="shared" ref="H33" si="5">SUM(G33*F33)</f>
        <v>5720.34</v>
      </c>
      <c r="I33" s="11">
        <v>0</v>
      </c>
      <c r="J33" s="23">
        <f t="shared" ref="J33" si="6">H33-I33</f>
        <v>5720.34</v>
      </c>
      <c r="K33" s="11"/>
      <c r="L33" s="11"/>
    </row>
    <row r="34" spans="1:12" x14ac:dyDescent="0.3">
      <c r="A34" s="7"/>
      <c r="B34" s="7"/>
      <c r="C34" s="7"/>
      <c r="D34" s="21"/>
      <c r="E34" s="12"/>
      <c r="F34" s="11"/>
      <c r="G34" s="11"/>
      <c r="H34" s="11"/>
      <c r="I34" s="11"/>
      <c r="J34" s="14">
        <f>SUM(J33)</f>
        <v>5720.34</v>
      </c>
      <c r="K34" s="11">
        <v>1029.6600000000001</v>
      </c>
      <c r="L34" s="23">
        <f>J34+K34</f>
        <v>6750</v>
      </c>
    </row>
    <row r="35" spans="1:12" x14ac:dyDescent="0.3">
      <c r="A35" s="31"/>
      <c r="B35" s="31"/>
      <c r="C35" s="31"/>
      <c r="D35" s="27"/>
      <c r="E35" s="37"/>
      <c r="F35" s="53"/>
      <c r="G35" s="53"/>
      <c r="H35" s="53"/>
      <c r="I35" s="53"/>
      <c r="J35" s="52"/>
      <c r="K35" s="53"/>
      <c r="L35" s="54"/>
    </row>
    <row r="36" spans="1:12" x14ac:dyDescent="0.3">
      <c r="A36" s="8">
        <v>46119</v>
      </c>
      <c r="B36" s="7" t="s">
        <v>120</v>
      </c>
      <c r="C36" s="7">
        <v>8</v>
      </c>
      <c r="D36" s="21" t="s">
        <v>121</v>
      </c>
      <c r="E36" s="12">
        <v>380.95</v>
      </c>
      <c r="F36" s="11">
        <v>3</v>
      </c>
      <c r="G36" s="11">
        <v>380.95</v>
      </c>
      <c r="H36" s="22">
        <f t="shared" ref="H36" si="7">SUM(G36*F36)</f>
        <v>1142.8499999999999</v>
      </c>
      <c r="I36" s="11">
        <v>0</v>
      </c>
      <c r="J36" s="23">
        <f t="shared" ref="J36" si="8">H36-I36</f>
        <v>1142.8499999999999</v>
      </c>
      <c r="K36" s="11"/>
      <c r="L36" s="23"/>
    </row>
    <row r="37" spans="1:12" x14ac:dyDescent="0.3">
      <c r="A37" s="7"/>
      <c r="B37" s="7"/>
      <c r="C37" s="7"/>
      <c r="D37" s="21"/>
      <c r="E37" s="12"/>
      <c r="F37" s="11"/>
      <c r="G37" s="11"/>
      <c r="H37" s="11"/>
      <c r="I37" s="11"/>
      <c r="J37" s="14">
        <f>SUM(J36)</f>
        <v>1142.8499999999999</v>
      </c>
      <c r="K37" s="11">
        <v>57.14</v>
      </c>
      <c r="L37" s="23">
        <f>J37+K37</f>
        <v>1199.99</v>
      </c>
    </row>
    <row r="38" spans="1:12" x14ac:dyDescent="0.3">
      <c r="A38" s="31"/>
      <c r="B38" s="31"/>
      <c r="C38" s="31"/>
      <c r="D38" s="27"/>
      <c r="E38" s="37"/>
      <c r="F38" s="53"/>
      <c r="G38" s="53"/>
      <c r="H38" s="53"/>
      <c r="I38" s="53"/>
      <c r="J38" s="52"/>
      <c r="K38" s="53"/>
      <c r="L38" s="54"/>
    </row>
    <row r="39" spans="1:12" x14ac:dyDescent="0.3">
      <c r="A39" s="8">
        <v>46120</v>
      </c>
      <c r="B39" s="7" t="s">
        <v>96</v>
      </c>
      <c r="C39" s="7" t="s">
        <v>102</v>
      </c>
      <c r="D39" s="21" t="s">
        <v>98</v>
      </c>
      <c r="E39" s="12">
        <v>1513</v>
      </c>
      <c r="F39" s="11">
        <v>5</v>
      </c>
      <c r="G39" s="11">
        <v>792.52</v>
      </c>
      <c r="H39" s="22">
        <f t="shared" ref="H39:H40" si="9">SUM(G39*F39)</f>
        <v>3962.6</v>
      </c>
      <c r="I39" s="11">
        <v>0</v>
      </c>
      <c r="J39" s="23">
        <f t="shared" ref="J39:J40" si="10">H39-I39</f>
        <v>3962.6</v>
      </c>
      <c r="K39" s="11"/>
      <c r="L39" s="11"/>
    </row>
    <row r="40" spans="1:12" x14ac:dyDescent="0.3">
      <c r="A40" s="7"/>
      <c r="B40" s="7"/>
      <c r="C40" s="7"/>
      <c r="D40" s="21" t="s">
        <v>99</v>
      </c>
      <c r="E40" s="12">
        <v>1700</v>
      </c>
      <c r="F40" s="11">
        <v>5</v>
      </c>
      <c r="G40" s="11">
        <v>792.37</v>
      </c>
      <c r="H40" s="22">
        <f t="shared" si="9"/>
        <v>3961.85</v>
      </c>
      <c r="I40" s="11">
        <v>0</v>
      </c>
      <c r="J40" s="23">
        <f t="shared" si="10"/>
        <v>3961.85</v>
      </c>
      <c r="K40" s="11"/>
      <c r="L40" s="11"/>
    </row>
    <row r="41" spans="1:12" s="55" customFormat="1" x14ac:dyDescent="0.3">
      <c r="A41" s="7"/>
      <c r="B41" s="7"/>
      <c r="C41" s="7"/>
      <c r="D41" s="21"/>
      <c r="E41" s="12"/>
      <c r="F41" s="11"/>
      <c r="G41" s="11"/>
      <c r="H41" s="11"/>
      <c r="I41" s="11"/>
      <c r="J41" s="14">
        <f>SUM(J39:J40)</f>
        <v>7924.45</v>
      </c>
      <c r="K41" s="11">
        <v>911.28</v>
      </c>
      <c r="L41" s="23">
        <f>J41+K41</f>
        <v>8835.73</v>
      </c>
    </row>
    <row r="42" spans="1:12" x14ac:dyDescent="0.3">
      <c r="A42" s="31"/>
      <c r="B42" s="31"/>
      <c r="C42" s="31"/>
      <c r="D42" s="27"/>
      <c r="E42" s="37"/>
      <c r="F42" s="53"/>
      <c r="G42" s="53"/>
      <c r="H42" s="53"/>
      <c r="I42" s="53"/>
      <c r="J42" s="53"/>
      <c r="K42" s="53"/>
      <c r="L42" s="53"/>
    </row>
    <row r="43" spans="1:12" x14ac:dyDescent="0.3">
      <c r="A43" s="8">
        <v>46120</v>
      </c>
      <c r="B43" s="7" t="s">
        <v>103</v>
      </c>
      <c r="C43" s="7" t="s">
        <v>104</v>
      </c>
      <c r="D43" s="21" t="s">
        <v>105</v>
      </c>
      <c r="E43" s="12">
        <v>315</v>
      </c>
      <c r="F43" s="11">
        <v>2</v>
      </c>
      <c r="G43" s="11">
        <v>266.95</v>
      </c>
      <c r="H43" s="22">
        <f t="shared" ref="H43:H45" si="11">SUM(G43*F43)</f>
        <v>533.9</v>
      </c>
      <c r="I43" s="11">
        <v>0</v>
      </c>
      <c r="J43" s="23">
        <f t="shared" ref="J43:J45" si="12">H43-I43</f>
        <v>533.9</v>
      </c>
      <c r="K43" s="11"/>
      <c r="L43" s="11"/>
    </row>
    <row r="44" spans="1:12" x14ac:dyDescent="0.3">
      <c r="A44" s="7"/>
      <c r="B44" s="7"/>
      <c r="C44" s="7"/>
      <c r="D44" s="21" t="s">
        <v>105</v>
      </c>
      <c r="E44" s="12">
        <v>315</v>
      </c>
      <c r="F44" s="11">
        <v>1</v>
      </c>
      <c r="G44" s="11">
        <v>0.01</v>
      </c>
      <c r="H44" s="22">
        <f t="shared" si="11"/>
        <v>0.01</v>
      </c>
      <c r="I44" s="11">
        <v>0</v>
      </c>
      <c r="J44" s="23">
        <f t="shared" si="12"/>
        <v>0.01</v>
      </c>
      <c r="K44" s="11"/>
      <c r="L44" s="11"/>
    </row>
    <row r="45" spans="1:12" x14ac:dyDescent="0.3">
      <c r="A45" s="7"/>
      <c r="B45" s="7"/>
      <c r="C45" s="7"/>
      <c r="D45" s="21" t="s">
        <v>106</v>
      </c>
      <c r="E45" s="12">
        <v>375</v>
      </c>
      <c r="F45" s="11">
        <v>5</v>
      </c>
      <c r="G45" s="11">
        <v>254.24</v>
      </c>
      <c r="H45" s="22">
        <f t="shared" si="11"/>
        <v>1271.2</v>
      </c>
      <c r="I45" s="11">
        <v>0</v>
      </c>
      <c r="J45" s="23">
        <f t="shared" si="12"/>
        <v>1271.2</v>
      </c>
      <c r="K45" s="11"/>
      <c r="L45" s="11"/>
    </row>
    <row r="46" spans="1:12" x14ac:dyDescent="0.3">
      <c r="A46" s="7"/>
      <c r="B46" s="7"/>
      <c r="C46" s="7"/>
      <c r="D46" s="21"/>
      <c r="E46" s="12"/>
      <c r="F46" s="11"/>
      <c r="G46" s="11"/>
      <c r="H46" s="11"/>
      <c r="I46" s="11"/>
      <c r="J46" s="14">
        <f>SUM(J43:J45)</f>
        <v>1805.1100000000001</v>
      </c>
      <c r="K46" s="11">
        <v>324.92</v>
      </c>
      <c r="L46" s="23">
        <f>J46+K46</f>
        <v>2130.0300000000002</v>
      </c>
    </row>
    <row r="47" spans="1:12" x14ac:dyDescent="0.3">
      <c r="A47" s="31"/>
      <c r="B47" s="31"/>
      <c r="C47" s="31"/>
      <c r="D47" s="27"/>
      <c r="E47" s="37"/>
      <c r="F47" s="53"/>
      <c r="G47" s="53"/>
      <c r="H47" s="53"/>
      <c r="I47" s="53"/>
      <c r="J47" s="52"/>
      <c r="K47" s="53"/>
      <c r="L47" s="54"/>
    </row>
    <row r="48" spans="1:12" x14ac:dyDescent="0.3">
      <c r="A48" s="8">
        <v>46121</v>
      </c>
      <c r="B48" s="7" t="s">
        <v>120</v>
      </c>
      <c r="C48" s="7">
        <v>113</v>
      </c>
      <c r="D48" s="21" t="s">
        <v>122</v>
      </c>
      <c r="E48" s="12">
        <v>25.42</v>
      </c>
      <c r="F48" s="11">
        <v>60</v>
      </c>
      <c r="G48" s="11">
        <v>25.42</v>
      </c>
      <c r="H48" s="22">
        <f t="shared" ref="H48" si="13">SUM(G48*F48)</f>
        <v>1525.2</v>
      </c>
      <c r="I48" s="11">
        <v>0</v>
      </c>
      <c r="J48" s="23">
        <f t="shared" ref="J48" si="14">H48-I48</f>
        <v>1525.2</v>
      </c>
      <c r="K48" s="11"/>
      <c r="L48" s="23"/>
    </row>
    <row r="49" spans="1:12" x14ac:dyDescent="0.3">
      <c r="A49" s="7"/>
      <c r="B49" s="7"/>
      <c r="C49" s="7"/>
      <c r="D49" s="21"/>
      <c r="E49" s="12"/>
      <c r="F49" s="11"/>
      <c r="G49" s="11"/>
      <c r="H49" s="11"/>
      <c r="I49" s="11"/>
      <c r="J49" s="14">
        <f>SUM(J48)</f>
        <v>1525.2</v>
      </c>
      <c r="K49" s="11">
        <v>274.54000000000002</v>
      </c>
      <c r="L49" s="23">
        <f>J49+K49</f>
        <v>1799.74</v>
      </c>
    </row>
    <row r="50" spans="1:12" x14ac:dyDescent="0.3">
      <c r="A50" s="31"/>
      <c r="B50" s="31"/>
      <c r="C50" s="31"/>
      <c r="D50" s="27"/>
      <c r="E50" s="37"/>
      <c r="F50" s="53"/>
      <c r="G50" s="53"/>
      <c r="H50" s="53"/>
      <c r="I50" s="53"/>
      <c r="J50" s="52"/>
      <c r="K50" s="53"/>
      <c r="L50" s="54"/>
    </row>
    <row r="51" spans="1:12" x14ac:dyDescent="0.3">
      <c r="A51" s="8">
        <v>46123</v>
      </c>
      <c r="B51" s="7" t="s">
        <v>103</v>
      </c>
      <c r="C51" s="7" t="s">
        <v>107</v>
      </c>
      <c r="D51" s="21" t="s">
        <v>108</v>
      </c>
      <c r="E51" s="12">
        <v>30000</v>
      </c>
      <c r="F51" s="11">
        <v>2</v>
      </c>
      <c r="G51" s="11">
        <v>10169.49</v>
      </c>
      <c r="H51" s="22">
        <f t="shared" ref="H51:H53" si="15">SUM(G51*F51)</f>
        <v>20338.98</v>
      </c>
      <c r="I51" s="11">
        <v>0</v>
      </c>
      <c r="J51" s="23">
        <f t="shared" ref="J51:J53" si="16">H51-I51</f>
        <v>20338.98</v>
      </c>
      <c r="K51" s="11"/>
      <c r="L51" s="11"/>
    </row>
    <row r="52" spans="1:12" x14ac:dyDescent="0.3">
      <c r="A52" s="7"/>
      <c r="B52" s="7"/>
      <c r="C52" s="7"/>
      <c r="D52" s="21" t="s">
        <v>109</v>
      </c>
      <c r="E52" s="12">
        <v>1465</v>
      </c>
      <c r="F52" s="11">
        <v>5</v>
      </c>
      <c r="G52" s="11">
        <v>837.14</v>
      </c>
      <c r="H52" s="22">
        <f t="shared" si="15"/>
        <v>4185.7</v>
      </c>
      <c r="I52" s="11">
        <v>0</v>
      </c>
      <c r="J52" s="23">
        <f t="shared" si="16"/>
        <v>4185.7</v>
      </c>
      <c r="K52" s="11"/>
      <c r="L52" s="11"/>
    </row>
    <row r="53" spans="1:12" x14ac:dyDescent="0.3">
      <c r="A53" s="7"/>
      <c r="B53" s="7"/>
      <c r="C53" s="7"/>
      <c r="D53" s="21" t="s">
        <v>110</v>
      </c>
      <c r="E53" s="12">
        <v>1650</v>
      </c>
      <c r="F53" s="11">
        <v>5</v>
      </c>
      <c r="G53" s="11">
        <v>838.98</v>
      </c>
      <c r="H53" s="22">
        <f t="shared" si="15"/>
        <v>4194.8999999999996</v>
      </c>
      <c r="I53" s="11">
        <v>0</v>
      </c>
      <c r="J53" s="23">
        <f t="shared" si="16"/>
        <v>4194.8999999999996</v>
      </c>
      <c r="K53" s="11"/>
      <c r="L53" s="11"/>
    </row>
    <row r="54" spans="1:12" x14ac:dyDescent="0.3">
      <c r="A54" s="7"/>
      <c r="B54" s="7"/>
      <c r="C54" s="7"/>
      <c r="D54" s="21"/>
      <c r="E54" s="12"/>
      <c r="F54" s="11"/>
      <c r="G54" s="11"/>
      <c r="H54" s="11"/>
      <c r="I54" s="11"/>
      <c r="J54" s="14">
        <f>SUM(J51:J53)</f>
        <v>28719.58</v>
      </c>
      <c r="K54" s="11">
        <v>4625.38</v>
      </c>
      <c r="L54" s="23">
        <f>J54+K54</f>
        <v>33344.959999999999</v>
      </c>
    </row>
    <row r="55" spans="1:12" x14ac:dyDescent="0.3">
      <c r="A55" s="31"/>
      <c r="B55" s="31"/>
      <c r="C55" s="31"/>
      <c r="D55" s="27"/>
      <c r="E55" s="37"/>
      <c r="F55" s="53"/>
      <c r="G55" s="53"/>
      <c r="H55" s="53"/>
      <c r="I55" s="53"/>
      <c r="J55" s="53"/>
      <c r="K55" s="53"/>
      <c r="L55" s="53"/>
    </row>
    <row r="56" spans="1:12" x14ac:dyDescent="0.3">
      <c r="A56" s="8">
        <v>46123</v>
      </c>
      <c r="B56" s="7" t="s">
        <v>96</v>
      </c>
      <c r="C56" s="7" t="s">
        <v>111</v>
      </c>
      <c r="D56" s="21" t="s">
        <v>112</v>
      </c>
      <c r="E56" s="12">
        <v>33000</v>
      </c>
      <c r="F56" s="11">
        <v>1</v>
      </c>
      <c r="G56" s="11">
        <v>27966.1</v>
      </c>
      <c r="H56" s="22">
        <f t="shared" ref="H56:H60" si="17">SUM(G56*F56)</f>
        <v>27966.1</v>
      </c>
      <c r="I56" s="11">
        <v>0</v>
      </c>
      <c r="J56" s="23">
        <f t="shared" ref="J56:J60" si="18">H56-I56</f>
        <v>27966.1</v>
      </c>
      <c r="K56" s="11"/>
      <c r="L56" s="11"/>
    </row>
    <row r="57" spans="1:12" x14ac:dyDescent="0.3">
      <c r="A57" s="7"/>
      <c r="B57" s="7"/>
      <c r="C57" s="7"/>
      <c r="D57" s="21" t="s">
        <v>112</v>
      </c>
      <c r="E57" s="12">
        <v>33000</v>
      </c>
      <c r="F57" s="11">
        <v>1</v>
      </c>
      <c r="G57" s="11">
        <v>0.01</v>
      </c>
      <c r="H57" s="22">
        <f t="shared" si="17"/>
        <v>0.01</v>
      </c>
      <c r="I57" s="11">
        <v>0</v>
      </c>
      <c r="J57" s="23">
        <f t="shared" si="18"/>
        <v>0.01</v>
      </c>
      <c r="K57" s="11"/>
      <c r="L57" s="11"/>
    </row>
    <row r="58" spans="1:12" x14ac:dyDescent="0.3">
      <c r="A58" s="7"/>
      <c r="B58" s="7"/>
      <c r="C58" s="7"/>
      <c r="D58" s="21" t="s">
        <v>113</v>
      </c>
      <c r="E58" s="12">
        <v>24500</v>
      </c>
      <c r="F58" s="11">
        <v>3</v>
      </c>
      <c r="G58" s="11">
        <v>8050.85</v>
      </c>
      <c r="H58" s="22">
        <f t="shared" si="17"/>
        <v>24152.550000000003</v>
      </c>
      <c r="I58" s="11">
        <v>0</v>
      </c>
      <c r="J58" s="23">
        <f t="shared" si="18"/>
        <v>24152.550000000003</v>
      </c>
      <c r="K58" s="11"/>
      <c r="L58" s="11"/>
    </row>
    <row r="59" spans="1:12" x14ac:dyDescent="0.3">
      <c r="A59" s="7"/>
      <c r="B59" s="7"/>
      <c r="C59" s="7"/>
      <c r="D59" s="21" t="s">
        <v>98</v>
      </c>
      <c r="E59" s="12">
        <v>1513</v>
      </c>
      <c r="F59" s="11">
        <v>12</v>
      </c>
      <c r="G59" s="11">
        <v>720.48</v>
      </c>
      <c r="H59" s="22">
        <f t="shared" si="17"/>
        <v>8645.76</v>
      </c>
      <c r="I59" s="11">
        <v>0</v>
      </c>
      <c r="J59" s="23">
        <f t="shared" si="18"/>
        <v>8645.76</v>
      </c>
      <c r="K59" s="11"/>
      <c r="L59" s="11"/>
    </row>
    <row r="60" spans="1:12" x14ac:dyDescent="0.3">
      <c r="A60" s="7"/>
      <c r="B60" s="7"/>
      <c r="C60" s="7"/>
      <c r="D60" s="21" t="s">
        <v>99</v>
      </c>
      <c r="E60" s="12">
        <v>1700</v>
      </c>
      <c r="F60" s="11">
        <v>12</v>
      </c>
      <c r="G60" s="11">
        <v>720.34</v>
      </c>
      <c r="H60" s="22">
        <f t="shared" si="17"/>
        <v>8644.08</v>
      </c>
      <c r="I60" s="11">
        <v>0</v>
      </c>
      <c r="J60" s="23">
        <f t="shared" si="18"/>
        <v>8644.08</v>
      </c>
      <c r="K60" s="11"/>
      <c r="L60" s="11"/>
    </row>
    <row r="61" spans="1:12" x14ac:dyDescent="0.3">
      <c r="A61" s="7"/>
      <c r="B61" s="7"/>
      <c r="C61" s="7"/>
      <c r="D61" s="21"/>
      <c r="E61" s="12"/>
      <c r="F61" s="11"/>
      <c r="G61" s="11"/>
      <c r="H61" s="11"/>
      <c r="I61" s="11"/>
      <c r="J61" s="14">
        <f>SUM(J56:J60)</f>
        <v>69408.5</v>
      </c>
      <c r="K61" s="11">
        <v>11369.58</v>
      </c>
      <c r="L61" s="23">
        <f>J61+K61</f>
        <v>80778.080000000002</v>
      </c>
    </row>
    <row r="62" spans="1:12" x14ac:dyDescent="0.3">
      <c r="A62" s="31"/>
      <c r="B62" s="31"/>
      <c r="C62" s="31"/>
      <c r="D62" s="27"/>
      <c r="E62" s="37"/>
      <c r="F62" s="53"/>
      <c r="G62" s="53"/>
      <c r="H62" s="53"/>
      <c r="I62" s="53"/>
      <c r="J62" s="52"/>
      <c r="K62" s="53"/>
      <c r="L62" s="54"/>
    </row>
    <row r="63" spans="1:12" x14ac:dyDescent="0.3">
      <c r="A63" s="8">
        <v>46125</v>
      </c>
      <c r="B63" s="7" t="s">
        <v>120</v>
      </c>
      <c r="C63" s="7">
        <v>17</v>
      </c>
      <c r="D63" s="21" t="s">
        <v>121</v>
      </c>
      <c r="E63" s="12">
        <v>380.95</v>
      </c>
      <c r="F63" s="11">
        <v>4</v>
      </c>
      <c r="G63" s="11">
        <v>380.95</v>
      </c>
      <c r="H63" s="22">
        <f t="shared" ref="H63:H65" si="19">SUM(G63*F63)</f>
        <v>1523.8</v>
      </c>
      <c r="I63" s="11">
        <v>0</v>
      </c>
      <c r="J63" s="23">
        <f t="shared" ref="J63:J65" si="20">H63-I63</f>
        <v>1523.8</v>
      </c>
      <c r="K63" s="11"/>
      <c r="L63" s="23"/>
    </row>
    <row r="64" spans="1:12" x14ac:dyDescent="0.3">
      <c r="A64" s="7"/>
      <c r="B64" s="7"/>
      <c r="C64" s="7"/>
      <c r="D64" s="21" t="s">
        <v>122</v>
      </c>
      <c r="E64" s="12">
        <v>25.42</v>
      </c>
      <c r="F64" s="11">
        <v>3</v>
      </c>
      <c r="G64" s="11">
        <v>25.42</v>
      </c>
      <c r="H64" s="22">
        <f t="shared" si="19"/>
        <v>76.260000000000005</v>
      </c>
      <c r="I64" s="11">
        <v>0</v>
      </c>
      <c r="J64" s="23">
        <f t="shared" si="20"/>
        <v>76.260000000000005</v>
      </c>
      <c r="K64" s="11"/>
      <c r="L64" s="23"/>
    </row>
    <row r="65" spans="1:12" x14ac:dyDescent="0.3">
      <c r="A65" s="7"/>
      <c r="B65" s="7"/>
      <c r="C65" s="7"/>
      <c r="D65" s="21" t="s">
        <v>123</v>
      </c>
      <c r="E65" s="12">
        <v>299</v>
      </c>
      <c r="F65" s="11">
        <v>4</v>
      </c>
      <c r="G65" s="11">
        <v>169.49</v>
      </c>
      <c r="H65" s="22">
        <f t="shared" si="19"/>
        <v>677.96</v>
      </c>
      <c r="I65" s="11">
        <v>0</v>
      </c>
      <c r="J65" s="23">
        <f t="shared" si="20"/>
        <v>677.96</v>
      </c>
      <c r="K65" s="11"/>
      <c r="L65" s="23"/>
    </row>
    <row r="66" spans="1:12" x14ac:dyDescent="0.3">
      <c r="A66" s="7"/>
      <c r="B66" s="7"/>
      <c r="C66" s="7"/>
      <c r="D66" s="21"/>
      <c r="E66" s="12"/>
      <c r="F66" s="11"/>
      <c r="G66" s="11"/>
      <c r="H66" s="11"/>
      <c r="I66" s="11"/>
      <c r="J66" s="14">
        <f>SUM(J63:J65)</f>
        <v>2278.02</v>
      </c>
      <c r="K66" s="11"/>
      <c r="L66" s="23"/>
    </row>
    <row r="67" spans="1:12" x14ac:dyDescent="0.3">
      <c r="A67" s="7"/>
      <c r="B67" s="7"/>
      <c r="C67" s="7"/>
      <c r="D67" s="21"/>
      <c r="E67" s="12"/>
      <c r="F67" s="11"/>
      <c r="G67" s="11"/>
      <c r="H67" s="22"/>
      <c r="I67" s="7"/>
      <c r="J67" s="29">
        <f>SUM(J63:J66)</f>
        <v>4556.04</v>
      </c>
      <c r="K67" s="7">
        <v>739.02</v>
      </c>
      <c r="L67" s="29">
        <f>J67+K67</f>
        <v>5295.0599999999995</v>
      </c>
    </row>
    <row r="68" spans="1:12" x14ac:dyDescent="0.3">
      <c r="A68" s="31"/>
      <c r="B68" s="31"/>
      <c r="C68" s="31"/>
      <c r="D68" s="27"/>
      <c r="E68" s="37"/>
      <c r="F68" s="53"/>
      <c r="G68" s="53"/>
      <c r="H68" s="53"/>
      <c r="I68" s="53"/>
      <c r="J68" s="52"/>
      <c r="K68" s="53"/>
      <c r="L68" s="54"/>
    </row>
    <row r="69" spans="1:12" x14ac:dyDescent="0.3">
      <c r="A69" s="8">
        <v>46132</v>
      </c>
      <c r="B69" s="8" t="s">
        <v>11</v>
      </c>
      <c r="C69" s="7" t="s">
        <v>114</v>
      </c>
      <c r="D69" s="21" t="s">
        <v>115</v>
      </c>
      <c r="E69" s="12">
        <v>2550</v>
      </c>
      <c r="F69" s="11">
        <v>1</v>
      </c>
      <c r="G69" s="11">
        <v>1666.67</v>
      </c>
      <c r="H69" s="22">
        <f t="shared" ref="H69:H70" si="21">SUM(G69*F69)</f>
        <v>1666.67</v>
      </c>
      <c r="I69" s="11">
        <v>0</v>
      </c>
      <c r="J69" s="23">
        <f t="shared" ref="J69:J70" si="22">H69-I69</f>
        <v>1666.67</v>
      </c>
      <c r="K69" s="11"/>
      <c r="L69" s="11"/>
    </row>
    <row r="70" spans="1:12" x14ac:dyDescent="0.3">
      <c r="A70" s="7"/>
      <c r="B70" s="7"/>
      <c r="C70" s="7"/>
      <c r="D70" s="21" t="s">
        <v>116</v>
      </c>
      <c r="E70" s="12">
        <v>2500</v>
      </c>
      <c r="F70" s="11">
        <v>1</v>
      </c>
      <c r="G70" s="11">
        <v>1483.05</v>
      </c>
      <c r="H70" s="22">
        <f t="shared" si="21"/>
        <v>1483.05</v>
      </c>
      <c r="I70" s="11">
        <v>0</v>
      </c>
      <c r="J70" s="23">
        <f t="shared" si="22"/>
        <v>1483.05</v>
      </c>
      <c r="K70" s="11"/>
      <c r="L70" s="11"/>
    </row>
    <row r="71" spans="1:12" x14ac:dyDescent="0.3">
      <c r="A71" s="7"/>
      <c r="B71" s="7"/>
      <c r="C71" s="7"/>
      <c r="D71" s="21" t="s">
        <v>115</v>
      </c>
      <c r="E71" s="12">
        <v>2550</v>
      </c>
      <c r="F71" s="11">
        <v>1</v>
      </c>
      <c r="G71" s="11">
        <v>1666.67</v>
      </c>
      <c r="H71" s="22">
        <f t="shared" ref="H71:H72" si="23">SUM(G71*F71)</f>
        <v>1666.67</v>
      </c>
      <c r="I71" s="11">
        <v>0</v>
      </c>
      <c r="J71" s="23">
        <f t="shared" ref="J71:J72" si="24">H71-I71</f>
        <v>1666.67</v>
      </c>
      <c r="K71" s="11"/>
      <c r="L71" s="11"/>
    </row>
    <row r="72" spans="1:12" x14ac:dyDescent="0.3">
      <c r="A72" s="7"/>
      <c r="B72" s="7"/>
      <c r="C72" s="7"/>
      <c r="D72" s="21" t="s">
        <v>116</v>
      </c>
      <c r="E72" s="12">
        <v>2500</v>
      </c>
      <c r="F72" s="11">
        <v>1</v>
      </c>
      <c r="G72" s="11">
        <v>1483.05</v>
      </c>
      <c r="H72" s="22">
        <f t="shared" si="23"/>
        <v>1483.05</v>
      </c>
      <c r="I72" s="11">
        <v>0</v>
      </c>
      <c r="J72" s="23">
        <f t="shared" si="24"/>
        <v>1483.05</v>
      </c>
      <c r="K72" s="11"/>
      <c r="L72" s="11"/>
    </row>
    <row r="73" spans="1:12" x14ac:dyDescent="0.3">
      <c r="A73" s="7"/>
      <c r="B73" s="7"/>
      <c r="C73" s="7"/>
      <c r="D73" s="21"/>
      <c r="E73" s="12"/>
      <c r="F73" s="11"/>
      <c r="G73" s="11"/>
      <c r="H73" s="11"/>
      <c r="I73" s="11"/>
      <c r="J73" s="14">
        <f>SUM(J69:J72)</f>
        <v>6299.4400000000005</v>
      </c>
      <c r="K73" s="11">
        <v>700.56</v>
      </c>
      <c r="L73" s="23">
        <f>J73+K73</f>
        <v>7000</v>
      </c>
    </row>
    <row r="74" spans="1:12" x14ac:dyDescent="0.3">
      <c r="A74" s="31"/>
      <c r="B74" s="31"/>
      <c r="C74" s="31"/>
      <c r="D74" s="27"/>
      <c r="E74" s="37"/>
      <c r="F74" s="53"/>
      <c r="G74" s="53"/>
      <c r="H74" s="53"/>
      <c r="I74" s="53"/>
      <c r="J74" s="53"/>
      <c r="K74" s="53"/>
      <c r="L74" s="53"/>
    </row>
    <row r="75" spans="1:12" x14ac:dyDescent="0.3">
      <c r="A75" s="8">
        <v>46134</v>
      </c>
      <c r="B75" s="7" t="s">
        <v>75</v>
      </c>
      <c r="C75" s="7" t="s">
        <v>117</v>
      </c>
      <c r="D75" s="21" t="s">
        <v>118</v>
      </c>
      <c r="E75" s="12">
        <v>12000</v>
      </c>
      <c r="F75" s="11">
        <v>1</v>
      </c>
      <c r="G75" s="11">
        <v>7118.64</v>
      </c>
      <c r="H75" s="22">
        <f t="shared" ref="H75:H76" si="25">SUM(G75*F75)</f>
        <v>7118.64</v>
      </c>
      <c r="I75" s="11">
        <v>0</v>
      </c>
      <c r="J75" s="23">
        <f t="shared" ref="J75:J76" si="26">H75-I75</f>
        <v>7118.64</v>
      </c>
      <c r="K75" s="11"/>
      <c r="L75" s="11"/>
    </row>
    <row r="76" spans="1:12" x14ac:dyDescent="0.3">
      <c r="A76" s="7"/>
      <c r="B76" s="7"/>
      <c r="C76" s="7"/>
      <c r="D76" s="21" t="s">
        <v>119</v>
      </c>
      <c r="E76" s="12">
        <v>3200</v>
      </c>
      <c r="F76" s="11">
        <v>2</v>
      </c>
      <c r="G76" s="11">
        <v>1898.31</v>
      </c>
      <c r="H76" s="22">
        <f t="shared" si="25"/>
        <v>3796.62</v>
      </c>
      <c r="I76" s="11">
        <v>0</v>
      </c>
      <c r="J76" s="23">
        <f t="shared" si="26"/>
        <v>3796.62</v>
      </c>
      <c r="K76" s="11"/>
      <c r="L76" s="11"/>
    </row>
    <row r="77" spans="1:12" x14ac:dyDescent="0.3">
      <c r="A77" s="7"/>
      <c r="B77" s="7"/>
      <c r="C77" s="7"/>
      <c r="D77" s="21"/>
      <c r="E77" s="12"/>
      <c r="F77" s="11"/>
      <c r="G77" s="11"/>
      <c r="H77" s="11"/>
      <c r="I77" s="11"/>
      <c r="J77" s="14">
        <f>SUM(J75:J76)</f>
        <v>10915.26</v>
      </c>
      <c r="K77" s="11">
        <v>1964.76</v>
      </c>
      <c r="L77" s="23">
        <f>J77+K77</f>
        <v>12880.02</v>
      </c>
    </row>
    <row r="78" spans="1:12" x14ac:dyDescent="0.3">
      <c r="A78" s="31"/>
      <c r="B78" s="31"/>
      <c r="C78" s="31"/>
      <c r="D78" s="27"/>
      <c r="E78" s="37"/>
      <c r="F78" s="53"/>
      <c r="G78" s="53"/>
      <c r="H78" s="53"/>
      <c r="I78" s="53"/>
      <c r="J78" s="53"/>
      <c r="K78" s="53"/>
      <c r="L78" s="53"/>
    </row>
    <row r="79" spans="1:12" x14ac:dyDescent="0.3">
      <c r="A79" s="8">
        <v>46136</v>
      </c>
      <c r="B79" s="7" t="s">
        <v>120</v>
      </c>
      <c r="C79" s="7">
        <v>41</v>
      </c>
      <c r="D79" s="21" t="s">
        <v>131</v>
      </c>
      <c r="E79" s="12">
        <v>499</v>
      </c>
      <c r="F79" s="11">
        <v>3</v>
      </c>
      <c r="G79" s="11">
        <v>169.49</v>
      </c>
      <c r="H79" s="22">
        <f t="shared" ref="H79:H84" si="27">SUM(G79*F79)</f>
        <v>508.47</v>
      </c>
      <c r="I79" s="11">
        <v>0</v>
      </c>
      <c r="J79" s="23">
        <f t="shared" ref="J79:J84" si="28">H79-I79</f>
        <v>508.47</v>
      </c>
      <c r="K79" s="11"/>
      <c r="L79" s="11"/>
    </row>
    <row r="80" spans="1:12" x14ac:dyDescent="0.3">
      <c r="A80" s="7"/>
      <c r="B80" s="7"/>
      <c r="C80" s="7"/>
      <c r="D80" s="21" t="s">
        <v>132</v>
      </c>
      <c r="E80" s="12">
        <v>40</v>
      </c>
      <c r="F80" s="11">
        <v>30</v>
      </c>
      <c r="G80" s="11">
        <v>25.42</v>
      </c>
      <c r="H80" s="22">
        <f t="shared" si="27"/>
        <v>762.6</v>
      </c>
      <c r="I80" s="11">
        <v>0</v>
      </c>
      <c r="J80" s="23">
        <f t="shared" si="28"/>
        <v>762.6</v>
      </c>
      <c r="K80" s="11"/>
      <c r="L80" s="11"/>
    </row>
    <row r="81" spans="1:12" x14ac:dyDescent="0.3">
      <c r="A81" s="7"/>
      <c r="B81" s="7"/>
      <c r="C81" s="7"/>
      <c r="D81" s="21" t="s">
        <v>133</v>
      </c>
      <c r="E81" s="12">
        <v>349</v>
      </c>
      <c r="F81" s="11">
        <v>3</v>
      </c>
      <c r="G81" s="11">
        <v>142.86000000000001</v>
      </c>
      <c r="H81" s="22">
        <f t="shared" si="27"/>
        <v>428.58000000000004</v>
      </c>
      <c r="I81" s="11">
        <v>0</v>
      </c>
      <c r="J81" s="23">
        <f t="shared" si="28"/>
        <v>428.58000000000004</v>
      </c>
      <c r="K81" s="11"/>
      <c r="L81" s="11"/>
    </row>
    <row r="82" spans="1:12" x14ac:dyDescent="0.3">
      <c r="A82" s="7"/>
      <c r="B82" s="7"/>
      <c r="C82" s="7"/>
      <c r="D82" s="21" t="s">
        <v>134</v>
      </c>
      <c r="E82" s="12">
        <v>120</v>
      </c>
      <c r="F82" s="11">
        <v>5</v>
      </c>
      <c r="G82" s="11">
        <v>84.75</v>
      </c>
      <c r="H82" s="22">
        <f t="shared" si="27"/>
        <v>423.75</v>
      </c>
      <c r="I82" s="11">
        <v>0</v>
      </c>
      <c r="J82" s="23">
        <f t="shared" si="28"/>
        <v>423.75</v>
      </c>
      <c r="K82" s="11"/>
      <c r="L82" s="11"/>
    </row>
    <row r="83" spans="1:12" x14ac:dyDescent="0.3">
      <c r="A83" s="7"/>
      <c r="B83" s="7"/>
      <c r="C83" s="7"/>
      <c r="D83" s="21" t="s">
        <v>123</v>
      </c>
      <c r="E83" s="12">
        <v>40</v>
      </c>
      <c r="F83" s="11">
        <v>80</v>
      </c>
      <c r="G83" s="11">
        <v>25.42</v>
      </c>
      <c r="H83" s="22">
        <f t="shared" si="27"/>
        <v>2033.6000000000001</v>
      </c>
      <c r="I83" s="11">
        <v>0</v>
      </c>
      <c r="J83" s="23">
        <f t="shared" si="28"/>
        <v>2033.6000000000001</v>
      </c>
      <c r="K83" s="11"/>
      <c r="L83" s="11"/>
    </row>
    <row r="84" spans="1:12" x14ac:dyDescent="0.3">
      <c r="A84" s="7"/>
      <c r="B84" s="7"/>
      <c r="C84" s="7"/>
      <c r="D84" s="21" t="s">
        <v>122</v>
      </c>
      <c r="E84" s="12">
        <v>299</v>
      </c>
      <c r="F84" s="11">
        <v>3</v>
      </c>
      <c r="G84" s="11">
        <v>169.49</v>
      </c>
      <c r="H84" s="22">
        <f t="shared" si="27"/>
        <v>508.47</v>
      </c>
      <c r="I84" s="11">
        <v>0</v>
      </c>
      <c r="J84" s="23">
        <f t="shared" si="28"/>
        <v>508.47</v>
      </c>
      <c r="K84" s="11"/>
      <c r="L84" s="11"/>
    </row>
    <row r="85" spans="1:12" x14ac:dyDescent="0.3">
      <c r="A85" s="7"/>
      <c r="B85" s="7"/>
      <c r="C85" s="7"/>
      <c r="D85" s="21"/>
      <c r="E85" s="12"/>
      <c r="F85" s="11"/>
      <c r="G85" s="11"/>
      <c r="H85" s="11"/>
      <c r="I85" s="11"/>
      <c r="J85" s="14">
        <f>SUM(J79:J84)</f>
        <v>4665.47</v>
      </c>
      <c r="K85" s="11">
        <v>784.07</v>
      </c>
      <c r="L85" s="23">
        <f>J85+K85</f>
        <v>5449.54</v>
      </c>
    </row>
    <row r="86" spans="1:12" x14ac:dyDescent="0.3">
      <c r="A86" s="31"/>
      <c r="B86" s="31"/>
      <c r="C86" s="31"/>
      <c r="D86" s="27"/>
      <c r="E86" s="37"/>
      <c r="F86" s="53"/>
      <c r="G86" s="53"/>
      <c r="H86" s="53"/>
      <c r="I86" s="53"/>
      <c r="J86" s="53"/>
      <c r="K86" s="53"/>
      <c r="L86" s="53"/>
    </row>
    <row r="87" spans="1:12" x14ac:dyDescent="0.3">
      <c r="A87" s="8">
        <v>46155</v>
      </c>
      <c r="B87" s="7" t="s">
        <v>13</v>
      </c>
      <c r="C87" s="7" t="s">
        <v>161</v>
      </c>
      <c r="D87" s="21" t="s">
        <v>92</v>
      </c>
      <c r="E87" s="12">
        <v>475</v>
      </c>
      <c r="F87" s="11">
        <v>8</v>
      </c>
      <c r="G87" s="11">
        <v>402.54</v>
      </c>
      <c r="H87" s="22">
        <f t="shared" ref="H87:H88" si="29">SUM(G87*F87)</f>
        <v>3220.32</v>
      </c>
      <c r="I87" s="23">
        <f>SUM(H87)*0.23</f>
        <v>740.67360000000008</v>
      </c>
      <c r="J87" s="23">
        <f t="shared" ref="J87:J88" si="30">H87-I87</f>
        <v>2479.6464000000001</v>
      </c>
      <c r="K87" s="11"/>
      <c r="L87" s="11"/>
    </row>
    <row r="88" spans="1:12" x14ac:dyDescent="0.3">
      <c r="A88" s="7"/>
      <c r="B88" s="7"/>
      <c r="C88" s="7"/>
      <c r="D88" s="21" t="s">
        <v>93</v>
      </c>
      <c r="E88" s="12">
        <v>475</v>
      </c>
      <c r="F88" s="11">
        <v>6</v>
      </c>
      <c r="G88" s="11">
        <v>402.54</v>
      </c>
      <c r="H88" s="22">
        <f t="shared" si="29"/>
        <v>2415.2400000000002</v>
      </c>
      <c r="I88" s="23">
        <f>SUM(H88)*0.23</f>
        <v>555.50520000000006</v>
      </c>
      <c r="J88" s="23">
        <f t="shared" si="30"/>
        <v>1859.7348000000002</v>
      </c>
      <c r="K88" s="11"/>
      <c r="L88" s="11"/>
    </row>
    <row r="89" spans="1:12" x14ac:dyDescent="0.3">
      <c r="A89" s="7"/>
      <c r="B89" s="7"/>
      <c r="C89" s="7"/>
      <c r="D89" s="21"/>
      <c r="E89" s="12"/>
      <c r="F89" s="11"/>
      <c r="G89" s="11"/>
      <c r="H89" s="11"/>
      <c r="I89" s="11"/>
      <c r="J89" s="14">
        <f>SUM(J87:J88)</f>
        <v>4339.3811999999998</v>
      </c>
      <c r="K89" s="11">
        <v>781.1</v>
      </c>
      <c r="L89" s="23">
        <f>J89+K89</f>
        <v>5120.4812000000002</v>
      </c>
    </row>
    <row r="90" spans="1:12" x14ac:dyDescent="0.3">
      <c r="A90" s="31"/>
      <c r="B90" s="31"/>
      <c r="C90" s="31"/>
      <c r="D90" s="27"/>
      <c r="E90" s="37"/>
      <c r="F90" s="53"/>
      <c r="G90" s="53"/>
      <c r="H90" s="53"/>
      <c r="I90" s="53"/>
      <c r="J90" s="53"/>
      <c r="K90" s="53"/>
      <c r="L90" s="53"/>
    </row>
    <row r="91" spans="1:12" x14ac:dyDescent="0.3">
      <c r="A91" s="8">
        <v>46156</v>
      </c>
      <c r="B91" s="8" t="s">
        <v>11</v>
      </c>
      <c r="C91" s="7" t="s">
        <v>162</v>
      </c>
      <c r="D91" s="21" t="s">
        <v>163</v>
      </c>
      <c r="E91" s="12">
        <v>1080</v>
      </c>
      <c r="F91" s="11">
        <v>10</v>
      </c>
      <c r="G91" s="11">
        <v>640.67999999999995</v>
      </c>
      <c r="H91" s="22">
        <f t="shared" ref="H91:H93" si="31">SUM(G91*F91)</f>
        <v>6406.7999999999993</v>
      </c>
      <c r="I91" s="23">
        <v>0</v>
      </c>
      <c r="J91" s="23">
        <f t="shared" ref="J91:J93" si="32">H91-I91</f>
        <v>6406.7999999999993</v>
      </c>
      <c r="K91" s="11"/>
      <c r="L91" s="11"/>
    </row>
    <row r="92" spans="1:12" x14ac:dyDescent="0.3">
      <c r="A92" s="7"/>
      <c r="B92" s="7"/>
      <c r="C92" s="7"/>
      <c r="D92" s="21" t="s">
        <v>164</v>
      </c>
      <c r="E92" s="12">
        <v>2760</v>
      </c>
      <c r="F92" s="11">
        <v>3</v>
      </c>
      <c r="G92" s="11">
        <v>1637.29</v>
      </c>
      <c r="H92" s="22">
        <f t="shared" si="31"/>
        <v>4911.87</v>
      </c>
      <c r="I92" s="23">
        <v>0</v>
      </c>
      <c r="J92" s="23">
        <f t="shared" si="32"/>
        <v>4911.87</v>
      </c>
      <c r="K92" s="11"/>
      <c r="L92" s="11"/>
    </row>
    <row r="93" spans="1:12" x14ac:dyDescent="0.3">
      <c r="A93" s="7"/>
      <c r="B93" s="7"/>
      <c r="C93" s="7"/>
      <c r="D93" s="21" t="s">
        <v>165</v>
      </c>
      <c r="E93" s="12">
        <v>2500</v>
      </c>
      <c r="F93" s="11">
        <v>1</v>
      </c>
      <c r="G93" s="11">
        <v>1483.05</v>
      </c>
      <c r="H93" s="22">
        <f t="shared" si="31"/>
        <v>1483.05</v>
      </c>
      <c r="I93" s="23">
        <v>0</v>
      </c>
      <c r="J93" s="23">
        <f t="shared" si="32"/>
        <v>1483.05</v>
      </c>
      <c r="K93" s="11"/>
      <c r="L93" s="11"/>
    </row>
    <row r="94" spans="1:12" x14ac:dyDescent="0.3">
      <c r="A94" s="7"/>
      <c r="B94" s="7"/>
      <c r="C94" s="7"/>
      <c r="D94" s="21"/>
      <c r="E94" s="12"/>
      <c r="F94" s="11"/>
      <c r="G94" s="11"/>
      <c r="H94" s="11"/>
      <c r="I94" s="11"/>
      <c r="J94" s="14">
        <f>SUM(J91:J93)</f>
        <v>12801.719999999998</v>
      </c>
      <c r="K94" s="11">
        <v>2304.3000000000002</v>
      </c>
      <c r="L94" s="23">
        <f>J94+K94</f>
        <v>15106.019999999997</v>
      </c>
    </row>
    <row r="95" spans="1:12" x14ac:dyDescent="0.3">
      <c r="A95" s="31"/>
      <c r="B95" s="31"/>
      <c r="C95" s="31"/>
      <c r="D95" s="27"/>
      <c r="E95" s="37"/>
      <c r="F95" s="53"/>
      <c r="G95" s="53"/>
      <c r="H95" s="53"/>
      <c r="I95" s="53"/>
      <c r="J95" s="53"/>
      <c r="K95" s="53"/>
      <c r="L95" s="53"/>
    </row>
    <row r="96" spans="1:12" x14ac:dyDescent="0.3">
      <c r="A96" s="20">
        <v>46156</v>
      </c>
      <c r="B96" s="17" t="s">
        <v>14</v>
      </c>
      <c r="C96" s="17" t="s">
        <v>15</v>
      </c>
      <c r="D96" s="21" t="s">
        <v>135</v>
      </c>
      <c r="E96" s="12">
        <v>470</v>
      </c>
      <c r="F96" s="22">
        <v>30</v>
      </c>
      <c r="G96" s="22">
        <v>398.31</v>
      </c>
      <c r="H96" s="22">
        <f>SUM(G96*F96)</f>
        <v>11949.3</v>
      </c>
      <c r="I96" s="22">
        <f>SUM(H96)*0.35</f>
        <v>4182.2549999999992</v>
      </c>
      <c r="J96" s="23">
        <f>H96-I96</f>
        <v>7767.0450000000001</v>
      </c>
      <c r="K96" s="17"/>
      <c r="L96" s="22"/>
    </row>
    <row r="97" spans="1:12" x14ac:dyDescent="0.3">
      <c r="A97" s="17"/>
      <c r="B97" s="17"/>
      <c r="C97" s="17"/>
      <c r="D97" s="21" t="s">
        <v>136</v>
      </c>
      <c r="E97" s="12">
        <v>470</v>
      </c>
      <c r="F97" s="22">
        <v>50</v>
      </c>
      <c r="G97" s="22">
        <v>398.31</v>
      </c>
      <c r="H97" s="22">
        <f>SUM(G97*F97)</f>
        <v>19915.5</v>
      </c>
      <c r="I97" s="22">
        <f>SUM(H97)*0.35</f>
        <v>6970.4249999999993</v>
      </c>
      <c r="J97" s="23">
        <f>H97-I97</f>
        <v>12945.075000000001</v>
      </c>
      <c r="K97" s="1"/>
      <c r="L97" s="22"/>
    </row>
    <row r="98" spans="1:12" x14ac:dyDescent="0.3">
      <c r="A98" s="17"/>
      <c r="B98" s="17"/>
      <c r="C98" s="17"/>
      <c r="D98" s="21" t="s">
        <v>137</v>
      </c>
      <c r="E98" s="12">
        <v>650</v>
      </c>
      <c r="F98" s="22">
        <v>10</v>
      </c>
      <c r="G98" s="22">
        <v>550.85</v>
      </c>
      <c r="H98" s="22">
        <f t="shared" ref="H98:H154" si="33">SUM(G98*F98)</f>
        <v>5508.5</v>
      </c>
      <c r="I98" s="22">
        <f>SUM(H98)*0.3</f>
        <v>1652.55</v>
      </c>
      <c r="J98" s="23">
        <f t="shared" ref="J98:J100" si="34">H98-I98</f>
        <v>3855.95</v>
      </c>
      <c r="K98" s="1"/>
      <c r="L98" s="22"/>
    </row>
    <row r="99" spans="1:12" x14ac:dyDescent="0.3">
      <c r="A99" s="17"/>
      <c r="B99" s="17"/>
      <c r="C99" s="17"/>
      <c r="D99" s="21" t="s">
        <v>138</v>
      </c>
      <c r="E99" s="12">
        <v>650</v>
      </c>
      <c r="F99" s="22">
        <v>5</v>
      </c>
      <c r="G99" s="22">
        <v>550.85</v>
      </c>
      <c r="H99" s="22">
        <f t="shared" si="33"/>
        <v>2754.25</v>
      </c>
      <c r="I99" s="22">
        <f t="shared" ref="I99:I100" si="35">SUM(H99)*0.3</f>
        <v>826.27499999999998</v>
      </c>
      <c r="J99" s="23">
        <f t="shared" si="34"/>
        <v>1927.9749999999999</v>
      </c>
      <c r="K99" s="22"/>
      <c r="L99" s="22"/>
    </row>
    <row r="100" spans="1:12" x14ac:dyDescent="0.3">
      <c r="A100" s="17"/>
      <c r="B100" s="17"/>
      <c r="C100" s="17"/>
      <c r="D100" s="21" t="s">
        <v>139</v>
      </c>
      <c r="E100" s="12">
        <v>650</v>
      </c>
      <c r="F100" s="22">
        <v>5</v>
      </c>
      <c r="G100" s="22">
        <v>550.85</v>
      </c>
      <c r="H100" s="22">
        <f t="shared" si="33"/>
        <v>2754.25</v>
      </c>
      <c r="I100" s="22">
        <f t="shared" si="35"/>
        <v>826.27499999999998</v>
      </c>
      <c r="J100" s="23">
        <f t="shared" si="34"/>
        <v>1927.9749999999999</v>
      </c>
      <c r="K100" s="22"/>
      <c r="L100" s="22"/>
    </row>
    <row r="101" spans="1:12" x14ac:dyDescent="0.3">
      <c r="A101" s="24"/>
      <c r="B101" s="24"/>
      <c r="C101" s="24"/>
      <c r="D101" s="17"/>
      <c r="E101" s="12"/>
      <c r="F101" s="24"/>
      <c r="G101" s="24"/>
      <c r="H101" s="24"/>
      <c r="I101" s="24"/>
      <c r="J101" s="23">
        <f>SUM(J96:J100)</f>
        <v>28424.02</v>
      </c>
      <c r="K101" s="22">
        <f>SUM(J101)*0.18</f>
        <v>5116.3235999999997</v>
      </c>
      <c r="L101" s="23">
        <f>J101+K101</f>
        <v>33540.3436</v>
      </c>
    </row>
    <row r="102" spans="1:12" x14ac:dyDescent="0.3">
      <c r="A102" s="45"/>
      <c r="B102" s="45"/>
      <c r="C102" s="45"/>
      <c r="D102" s="27"/>
      <c r="E102" s="37"/>
      <c r="F102" s="60"/>
      <c r="G102" s="60"/>
      <c r="H102" s="60"/>
      <c r="I102" s="60"/>
      <c r="J102" s="54"/>
      <c r="K102" s="26"/>
      <c r="L102" s="54"/>
    </row>
    <row r="103" spans="1:12" x14ac:dyDescent="0.3">
      <c r="A103" s="62">
        <v>46160</v>
      </c>
      <c r="B103" s="24" t="s">
        <v>75</v>
      </c>
      <c r="C103" s="24" t="s">
        <v>166</v>
      </c>
      <c r="D103" s="21" t="s">
        <v>167</v>
      </c>
      <c r="E103" s="12">
        <v>4600</v>
      </c>
      <c r="F103" s="59">
        <v>5</v>
      </c>
      <c r="G103" s="22">
        <v>2728.81</v>
      </c>
      <c r="H103" s="22">
        <f t="shared" si="33"/>
        <v>13644.05</v>
      </c>
      <c r="I103" s="22"/>
      <c r="J103" s="23">
        <f t="shared" ref="J103:J108" si="36">H103-I103</f>
        <v>13644.05</v>
      </c>
      <c r="K103" s="22"/>
      <c r="L103" s="23"/>
    </row>
    <row r="104" spans="1:12" x14ac:dyDescent="0.3">
      <c r="A104" s="24"/>
      <c r="B104" s="24"/>
      <c r="C104" s="24"/>
      <c r="D104" s="21" t="s">
        <v>168</v>
      </c>
      <c r="E104" s="12">
        <v>980</v>
      </c>
      <c r="F104" s="59">
        <v>3</v>
      </c>
      <c r="G104" s="22">
        <v>581.36</v>
      </c>
      <c r="H104" s="22">
        <f t="shared" si="33"/>
        <v>1744.08</v>
      </c>
      <c r="I104" s="22"/>
      <c r="J104" s="23">
        <f t="shared" si="36"/>
        <v>1744.08</v>
      </c>
      <c r="K104" s="22"/>
      <c r="L104" s="23"/>
    </row>
    <row r="105" spans="1:12" x14ac:dyDescent="0.3">
      <c r="A105" s="24"/>
      <c r="B105" s="24"/>
      <c r="C105" s="24"/>
      <c r="D105" s="21" t="s">
        <v>172</v>
      </c>
      <c r="E105" s="12">
        <v>525</v>
      </c>
      <c r="F105" s="59">
        <v>2</v>
      </c>
      <c r="G105" s="22">
        <v>311.86</v>
      </c>
      <c r="H105" s="22">
        <f t="shared" si="33"/>
        <v>623.72</v>
      </c>
      <c r="I105" s="22"/>
      <c r="J105" s="23">
        <f t="shared" si="36"/>
        <v>623.72</v>
      </c>
      <c r="K105" s="22"/>
      <c r="L105" s="23"/>
    </row>
    <row r="106" spans="1:12" x14ac:dyDescent="0.3">
      <c r="A106" s="24"/>
      <c r="B106" s="24"/>
      <c r="C106" s="24"/>
      <c r="D106" s="21" t="s">
        <v>169</v>
      </c>
      <c r="E106" s="12">
        <v>2200</v>
      </c>
      <c r="F106" s="59">
        <v>3</v>
      </c>
      <c r="G106" s="22">
        <v>1361.9</v>
      </c>
      <c r="H106" s="22">
        <f t="shared" si="33"/>
        <v>4085.7000000000003</v>
      </c>
      <c r="I106" s="22"/>
      <c r="J106" s="23">
        <f t="shared" si="36"/>
        <v>4085.7000000000003</v>
      </c>
      <c r="K106" s="22"/>
      <c r="L106" s="23"/>
    </row>
    <row r="107" spans="1:12" x14ac:dyDescent="0.3">
      <c r="A107" s="24"/>
      <c r="B107" s="24"/>
      <c r="C107" s="24"/>
      <c r="D107" s="21" t="s">
        <v>170</v>
      </c>
      <c r="E107" s="12">
        <v>4200</v>
      </c>
      <c r="F107" s="59">
        <v>1</v>
      </c>
      <c r="G107" s="22">
        <v>2313.56</v>
      </c>
      <c r="H107" s="22">
        <f t="shared" si="33"/>
        <v>2313.56</v>
      </c>
      <c r="I107" s="22"/>
      <c r="J107" s="23">
        <f t="shared" si="36"/>
        <v>2313.56</v>
      </c>
      <c r="K107" s="22"/>
      <c r="L107" s="23"/>
    </row>
    <row r="108" spans="1:12" x14ac:dyDescent="0.3">
      <c r="A108" s="24"/>
      <c r="B108" s="24"/>
      <c r="C108" s="24"/>
      <c r="D108" s="21" t="s">
        <v>171</v>
      </c>
      <c r="E108" s="12">
        <v>1800</v>
      </c>
      <c r="F108" s="59">
        <v>1</v>
      </c>
      <c r="G108" s="22">
        <v>1067.8</v>
      </c>
      <c r="H108" s="22">
        <f t="shared" si="33"/>
        <v>1067.8</v>
      </c>
      <c r="I108" s="22"/>
      <c r="J108" s="23">
        <f t="shared" si="36"/>
        <v>1067.8</v>
      </c>
      <c r="K108" s="22"/>
      <c r="L108" s="23"/>
    </row>
    <row r="109" spans="1:12" x14ac:dyDescent="0.3">
      <c r="A109" s="24"/>
      <c r="B109" s="24"/>
      <c r="C109" s="24"/>
      <c r="D109" s="21"/>
      <c r="E109" s="12"/>
      <c r="F109" s="59"/>
      <c r="G109" s="22"/>
      <c r="H109" s="22"/>
      <c r="I109" s="22"/>
      <c r="J109" s="23">
        <f>SUM(J103:J108)</f>
        <v>23478.91</v>
      </c>
      <c r="K109" s="22">
        <v>3695.04</v>
      </c>
      <c r="L109" s="23">
        <f>J109+K109</f>
        <v>27173.95</v>
      </c>
    </row>
    <row r="110" spans="1:12" x14ac:dyDescent="0.3">
      <c r="A110" s="45"/>
      <c r="B110" s="45"/>
      <c r="C110" s="45"/>
      <c r="D110" s="27"/>
      <c r="E110" s="37"/>
      <c r="F110" s="60"/>
      <c r="G110" s="60"/>
      <c r="H110" s="60"/>
      <c r="I110" s="60"/>
      <c r="J110" s="54"/>
      <c r="K110" s="26"/>
      <c r="L110" s="54"/>
    </row>
    <row r="111" spans="1:12" x14ac:dyDescent="0.3">
      <c r="A111" s="8">
        <v>46161</v>
      </c>
      <c r="B111" s="7" t="s">
        <v>120</v>
      </c>
      <c r="C111" s="7">
        <v>79</v>
      </c>
      <c r="D111" s="21" t="s">
        <v>130</v>
      </c>
      <c r="E111" s="12">
        <v>340</v>
      </c>
      <c r="F111" s="11">
        <v>48</v>
      </c>
      <c r="G111" s="11">
        <v>258.47000000000003</v>
      </c>
      <c r="H111" s="22">
        <f>SUM(G111*F111)</f>
        <v>12406.560000000001</v>
      </c>
      <c r="I111" s="11">
        <v>0</v>
      </c>
      <c r="J111" s="23">
        <f>H111-I111</f>
        <v>12406.560000000001</v>
      </c>
      <c r="K111" s="11"/>
      <c r="L111" s="23"/>
    </row>
    <row r="112" spans="1:12" x14ac:dyDescent="0.3">
      <c r="A112" s="7"/>
      <c r="B112" s="7"/>
      <c r="C112" s="7"/>
      <c r="D112" s="21"/>
      <c r="E112" s="12"/>
      <c r="F112" s="11"/>
      <c r="G112" s="11"/>
      <c r="H112" s="11"/>
      <c r="I112" s="11"/>
      <c r="J112" s="14">
        <f>SUM(J111)</f>
        <v>12406.560000000001</v>
      </c>
      <c r="K112" s="11">
        <v>2233.1799999999998</v>
      </c>
      <c r="L112" s="23">
        <f>J112+K112</f>
        <v>14639.740000000002</v>
      </c>
    </row>
    <row r="113" spans="1:12" x14ac:dyDescent="0.3">
      <c r="A113" s="31"/>
      <c r="B113" s="31"/>
      <c r="C113" s="31"/>
      <c r="D113" s="27"/>
      <c r="E113" s="37"/>
      <c r="F113" s="53"/>
      <c r="G113" s="53"/>
      <c r="H113" s="53"/>
      <c r="I113" s="53"/>
      <c r="J113" s="52"/>
      <c r="K113" s="53"/>
      <c r="L113" s="54"/>
    </row>
    <row r="114" spans="1:12" x14ac:dyDescent="0.3">
      <c r="A114" s="8">
        <v>46161</v>
      </c>
      <c r="B114" s="7" t="s">
        <v>120</v>
      </c>
      <c r="C114" s="7">
        <v>80</v>
      </c>
      <c r="D114" s="21" t="s">
        <v>124</v>
      </c>
      <c r="E114" s="12">
        <v>390</v>
      </c>
      <c r="F114" s="11">
        <v>2</v>
      </c>
      <c r="G114" s="11">
        <v>237.29</v>
      </c>
      <c r="H114" s="22">
        <f t="shared" ref="H114:H122" si="37">SUM(G114*F114)</f>
        <v>474.58</v>
      </c>
      <c r="I114" s="11">
        <v>0</v>
      </c>
      <c r="J114" s="23">
        <f t="shared" ref="J114:J121" si="38">H114-I114</f>
        <v>474.58</v>
      </c>
      <c r="K114" s="11"/>
      <c r="L114" s="23"/>
    </row>
    <row r="115" spans="1:12" x14ac:dyDescent="0.3">
      <c r="A115" s="7"/>
      <c r="B115" s="7"/>
      <c r="C115" s="7"/>
      <c r="D115" s="21" t="s">
        <v>125</v>
      </c>
      <c r="E115" s="12">
        <v>120</v>
      </c>
      <c r="F115" s="11">
        <v>2</v>
      </c>
      <c r="G115" s="11">
        <v>88.14</v>
      </c>
      <c r="H115" s="22">
        <f>SUM(G115*F115)</f>
        <v>176.28</v>
      </c>
      <c r="I115" s="11">
        <v>0</v>
      </c>
      <c r="J115" s="23">
        <f>H115-I115</f>
        <v>176.28</v>
      </c>
      <c r="K115" s="11"/>
      <c r="L115" s="23"/>
    </row>
    <row r="116" spans="1:12" x14ac:dyDescent="0.3">
      <c r="A116" s="7"/>
      <c r="B116" s="7"/>
      <c r="C116" s="7"/>
      <c r="D116" s="21" t="s">
        <v>126</v>
      </c>
      <c r="E116" s="12">
        <v>60</v>
      </c>
      <c r="F116" s="11">
        <v>1</v>
      </c>
      <c r="G116" s="11">
        <v>44.07</v>
      </c>
      <c r="H116" s="22">
        <f t="shared" si="37"/>
        <v>44.07</v>
      </c>
      <c r="I116" s="11">
        <v>0</v>
      </c>
      <c r="J116" s="23">
        <f t="shared" si="38"/>
        <v>44.07</v>
      </c>
      <c r="K116" s="11"/>
      <c r="L116" s="23"/>
    </row>
    <row r="117" spans="1:12" x14ac:dyDescent="0.3">
      <c r="A117" s="7"/>
      <c r="B117" s="7"/>
      <c r="C117" s="7"/>
      <c r="D117" s="21" t="s">
        <v>121</v>
      </c>
      <c r="E117" s="12">
        <v>999</v>
      </c>
      <c r="F117" s="11">
        <v>7</v>
      </c>
      <c r="G117" s="11">
        <v>380.95</v>
      </c>
      <c r="H117" s="22">
        <f t="shared" si="37"/>
        <v>2666.65</v>
      </c>
      <c r="I117" s="11">
        <v>0</v>
      </c>
      <c r="J117" s="23">
        <f t="shared" si="38"/>
        <v>2666.65</v>
      </c>
      <c r="K117" s="11"/>
      <c r="L117" s="23"/>
    </row>
    <row r="118" spans="1:12" x14ac:dyDescent="0.3">
      <c r="A118" s="7"/>
      <c r="B118" s="7"/>
      <c r="C118" s="7"/>
      <c r="D118" s="21" t="s">
        <v>127</v>
      </c>
      <c r="E118" s="12">
        <v>1080</v>
      </c>
      <c r="F118" s="11">
        <v>1</v>
      </c>
      <c r="G118" s="11">
        <v>786.61</v>
      </c>
      <c r="H118" s="22">
        <v>796.61</v>
      </c>
      <c r="I118" s="11">
        <v>0</v>
      </c>
      <c r="J118" s="23">
        <f t="shared" si="38"/>
        <v>796.61</v>
      </c>
      <c r="K118" s="11"/>
      <c r="L118" s="23"/>
    </row>
    <row r="119" spans="1:12" x14ac:dyDescent="0.3">
      <c r="A119" s="7"/>
      <c r="B119" s="7"/>
      <c r="C119" s="7"/>
      <c r="D119" s="21" t="s">
        <v>128</v>
      </c>
      <c r="E119" s="12">
        <v>1190</v>
      </c>
      <c r="F119" s="11">
        <v>1</v>
      </c>
      <c r="G119" s="11">
        <v>877.12</v>
      </c>
      <c r="H119" s="22">
        <f t="shared" si="37"/>
        <v>877.12</v>
      </c>
      <c r="I119" s="11">
        <v>0</v>
      </c>
      <c r="J119" s="23">
        <f t="shared" si="38"/>
        <v>877.12</v>
      </c>
      <c r="K119" s="11"/>
      <c r="L119" s="23"/>
    </row>
    <row r="120" spans="1:12" x14ac:dyDescent="0.3">
      <c r="A120" s="7"/>
      <c r="B120" s="7"/>
      <c r="C120" s="7"/>
      <c r="D120" s="21" t="s">
        <v>123</v>
      </c>
      <c r="E120" s="12">
        <v>299</v>
      </c>
      <c r="F120" s="11">
        <v>6</v>
      </c>
      <c r="G120" s="11">
        <v>169.49</v>
      </c>
      <c r="H120" s="22">
        <f t="shared" si="37"/>
        <v>1016.94</v>
      </c>
      <c r="I120" s="11">
        <v>0</v>
      </c>
      <c r="J120" s="23">
        <f t="shared" si="38"/>
        <v>1016.94</v>
      </c>
      <c r="K120" s="11"/>
      <c r="L120" s="23"/>
    </row>
    <row r="121" spans="1:12" x14ac:dyDescent="0.3">
      <c r="A121" s="7"/>
      <c r="B121" s="7"/>
      <c r="C121" s="7"/>
      <c r="D121" s="21" t="s">
        <v>129</v>
      </c>
      <c r="E121" s="12">
        <v>499</v>
      </c>
      <c r="F121" s="11">
        <v>3</v>
      </c>
      <c r="G121" s="11">
        <v>169.49</v>
      </c>
      <c r="H121" s="22">
        <f t="shared" si="37"/>
        <v>508.47</v>
      </c>
      <c r="I121" s="7">
        <v>0</v>
      </c>
      <c r="J121" s="29">
        <f t="shared" si="38"/>
        <v>508.47</v>
      </c>
      <c r="K121" s="7"/>
      <c r="L121" s="29"/>
    </row>
    <row r="122" spans="1:12" x14ac:dyDescent="0.3">
      <c r="A122" s="7"/>
      <c r="B122" s="7"/>
      <c r="C122" s="7"/>
      <c r="D122" s="21" t="s">
        <v>122</v>
      </c>
      <c r="E122" s="12">
        <v>25.42</v>
      </c>
      <c r="F122" s="11">
        <v>20</v>
      </c>
      <c r="G122" s="11">
        <v>25.42</v>
      </c>
      <c r="H122" s="22">
        <f t="shared" si="37"/>
        <v>508.40000000000003</v>
      </c>
      <c r="I122" s="7">
        <v>0</v>
      </c>
      <c r="J122" s="29">
        <f>H122-I122</f>
        <v>508.40000000000003</v>
      </c>
      <c r="K122" s="1"/>
      <c r="L122" s="1"/>
    </row>
    <row r="123" spans="1:12" x14ac:dyDescent="0.3">
      <c r="A123" s="7"/>
      <c r="B123" s="7"/>
      <c r="C123" s="7"/>
      <c r="D123" s="21"/>
      <c r="E123" s="12"/>
      <c r="F123" s="11"/>
      <c r="G123" s="11"/>
      <c r="H123" s="22"/>
      <c r="I123" s="7"/>
      <c r="J123" s="23">
        <f>SUM(J114:J122)</f>
        <v>7069.12</v>
      </c>
      <c r="K123" s="61">
        <v>900</v>
      </c>
      <c r="L123" s="23">
        <f>J123+K123</f>
        <v>7969.12</v>
      </c>
    </row>
    <row r="124" spans="1:12" x14ac:dyDescent="0.3">
      <c r="A124" s="25"/>
      <c r="B124" s="25"/>
      <c r="C124" s="25"/>
      <c r="D124" s="25"/>
      <c r="E124" s="37"/>
      <c r="F124" s="25"/>
      <c r="G124" s="25"/>
      <c r="H124" s="25"/>
      <c r="I124" s="25"/>
      <c r="J124" s="26"/>
      <c r="K124" s="26"/>
      <c r="L124" s="26"/>
    </row>
    <row r="125" spans="1:12" x14ac:dyDescent="0.3">
      <c r="A125" s="20">
        <v>46171</v>
      </c>
      <c r="B125" s="17" t="s">
        <v>20</v>
      </c>
      <c r="C125" s="17" t="s">
        <v>21</v>
      </c>
      <c r="D125" s="21" t="s">
        <v>140</v>
      </c>
      <c r="E125" s="12">
        <v>475</v>
      </c>
      <c r="F125" s="22">
        <v>2</v>
      </c>
      <c r="G125" s="22">
        <v>402.54</v>
      </c>
      <c r="H125" s="22">
        <f t="shared" si="33"/>
        <v>805.08</v>
      </c>
      <c r="I125" s="23">
        <f>SUM(H125)*0.23</f>
        <v>185.16840000000002</v>
      </c>
      <c r="J125" s="23">
        <f t="shared" ref="J125:J135" si="39">H125-I125</f>
        <v>619.91160000000002</v>
      </c>
      <c r="K125" s="22"/>
      <c r="L125" s="22"/>
    </row>
    <row r="126" spans="1:12" x14ac:dyDescent="0.3">
      <c r="A126" s="17"/>
      <c r="B126" s="17"/>
      <c r="C126" s="17"/>
      <c r="D126" s="21" t="s">
        <v>141</v>
      </c>
      <c r="E126" s="12">
        <v>525.01</v>
      </c>
      <c r="F126" s="22">
        <v>3</v>
      </c>
      <c r="G126" s="22">
        <v>444.92</v>
      </c>
      <c r="H126" s="22">
        <f t="shared" si="33"/>
        <v>1334.76</v>
      </c>
      <c r="I126" s="23">
        <f>SUM(H126)*0.23</f>
        <v>306.9948</v>
      </c>
      <c r="J126" s="23">
        <f t="shared" si="39"/>
        <v>1027.7652</v>
      </c>
      <c r="K126" s="22"/>
      <c r="L126" s="22"/>
    </row>
    <row r="127" spans="1:12" x14ac:dyDescent="0.3">
      <c r="A127" s="17"/>
      <c r="B127" s="17"/>
      <c r="C127" s="17"/>
      <c r="D127" s="21" t="s">
        <v>22</v>
      </c>
      <c r="E127" s="12">
        <v>475</v>
      </c>
      <c r="F127" s="22">
        <v>2</v>
      </c>
      <c r="G127" s="22">
        <v>402.54</v>
      </c>
      <c r="H127" s="22">
        <f t="shared" si="33"/>
        <v>805.08</v>
      </c>
      <c r="I127" s="23">
        <f t="shared" ref="I127:I135" si="40">SUM(H127)*0.23</f>
        <v>185.16840000000002</v>
      </c>
      <c r="J127" s="23">
        <f t="shared" si="39"/>
        <v>619.91160000000002</v>
      </c>
      <c r="K127" s="22"/>
      <c r="L127" s="22"/>
    </row>
    <row r="128" spans="1:12" x14ac:dyDescent="0.3">
      <c r="A128" s="17"/>
      <c r="B128" s="17"/>
      <c r="C128" s="17"/>
      <c r="D128" s="21" t="s">
        <v>23</v>
      </c>
      <c r="E128" s="12">
        <v>475</v>
      </c>
      <c r="F128" s="22">
        <v>2</v>
      </c>
      <c r="G128" s="22">
        <v>402.54</v>
      </c>
      <c r="H128" s="22">
        <f t="shared" si="33"/>
        <v>805.08</v>
      </c>
      <c r="I128" s="23">
        <f t="shared" si="40"/>
        <v>185.16840000000002</v>
      </c>
      <c r="J128" s="23">
        <f t="shared" si="39"/>
        <v>619.91160000000002</v>
      </c>
      <c r="K128" s="22"/>
      <c r="L128" s="22"/>
    </row>
    <row r="129" spans="1:12" x14ac:dyDescent="0.3">
      <c r="A129" s="17"/>
      <c r="B129" s="17"/>
      <c r="C129" s="17"/>
      <c r="D129" s="21" t="s">
        <v>24</v>
      </c>
      <c r="E129" s="12">
        <v>475</v>
      </c>
      <c r="F129" s="22">
        <v>2</v>
      </c>
      <c r="G129" s="22">
        <v>402.54</v>
      </c>
      <c r="H129" s="22">
        <f t="shared" si="33"/>
        <v>805.08</v>
      </c>
      <c r="I129" s="23">
        <f t="shared" si="40"/>
        <v>185.16840000000002</v>
      </c>
      <c r="J129" s="23">
        <f t="shared" si="39"/>
        <v>619.91160000000002</v>
      </c>
      <c r="K129" s="22"/>
      <c r="L129" s="22"/>
    </row>
    <row r="130" spans="1:12" x14ac:dyDescent="0.3">
      <c r="A130" s="17"/>
      <c r="B130" s="17"/>
      <c r="C130" s="17"/>
      <c r="D130" s="21" t="s">
        <v>25</v>
      </c>
      <c r="E130" s="12">
        <v>475</v>
      </c>
      <c r="F130" s="22">
        <v>2</v>
      </c>
      <c r="G130" s="22">
        <v>402.54</v>
      </c>
      <c r="H130" s="22">
        <f t="shared" si="33"/>
        <v>805.08</v>
      </c>
      <c r="I130" s="23">
        <f t="shared" si="40"/>
        <v>185.16840000000002</v>
      </c>
      <c r="J130" s="23">
        <f t="shared" si="39"/>
        <v>619.91160000000002</v>
      </c>
      <c r="K130" s="22"/>
      <c r="L130" s="22"/>
    </row>
    <row r="131" spans="1:12" x14ac:dyDescent="0.3">
      <c r="A131" s="17"/>
      <c r="B131" s="17"/>
      <c r="C131" s="17"/>
      <c r="D131" s="21" t="s">
        <v>142</v>
      </c>
      <c r="E131" s="12">
        <v>525.01</v>
      </c>
      <c r="F131" s="22">
        <v>6</v>
      </c>
      <c r="G131" s="22">
        <v>444.92</v>
      </c>
      <c r="H131" s="22">
        <f t="shared" si="33"/>
        <v>2669.52</v>
      </c>
      <c r="I131" s="23">
        <f t="shared" si="40"/>
        <v>613.9896</v>
      </c>
      <c r="J131" s="23">
        <f t="shared" si="39"/>
        <v>2055.5304000000001</v>
      </c>
      <c r="K131" s="22"/>
      <c r="L131" s="22"/>
    </row>
    <row r="132" spans="1:12" x14ac:dyDescent="0.3">
      <c r="A132" s="17"/>
      <c r="B132" s="17"/>
      <c r="C132" s="17"/>
      <c r="D132" s="21" t="s">
        <v>143</v>
      </c>
      <c r="E132" s="12">
        <v>525.01</v>
      </c>
      <c r="F132" s="22">
        <v>6</v>
      </c>
      <c r="G132" s="22">
        <v>444.92</v>
      </c>
      <c r="H132" s="22">
        <f t="shared" si="33"/>
        <v>2669.52</v>
      </c>
      <c r="I132" s="23">
        <f t="shared" si="40"/>
        <v>613.9896</v>
      </c>
      <c r="J132" s="23">
        <f t="shared" si="39"/>
        <v>2055.5304000000001</v>
      </c>
      <c r="K132" s="22"/>
      <c r="L132" s="22"/>
    </row>
    <row r="133" spans="1:12" x14ac:dyDescent="0.3">
      <c r="A133" s="17"/>
      <c r="B133" s="17"/>
      <c r="C133" s="17"/>
      <c r="D133" s="21" t="s">
        <v>84</v>
      </c>
      <c r="E133" s="12">
        <v>475</v>
      </c>
      <c r="F133" s="22">
        <v>4</v>
      </c>
      <c r="G133" s="22">
        <v>402.54</v>
      </c>
      <c r="H133" s="22">
        <f t="shared" si="33"/>
        <v>1610.16</v>
      </c>
      <c r="I133" s="23">
        <f t="shared" si="40"/>
        <v>370.33680000000004</v>
      </c>
      <c r="J133" s="23">
        <f t="shared" si="39"/>
        <v>1239.8232</v>
      </c>
      <c r="K133" s="22"/>
      <c r="L133" s="22"/>
    </row>
    <row r="134" spans="1:12" x14ac:dyDescent="0.3">
      <c r="A134" s="17"/>
      <c r="B134" s="17"/>
      <c r="C134" s="17"/>
      <c r="D134" s="21" t="s">
        <v>26</v>
      </c>
      <c r="E134" s="12">
        <v>475</v>
      </c>
      <c r="F134" s="22">
        <v>2</v>
      </c>
      <c r="G134" s="22">
        <v>402.54</v>
      </c>
      <c r="H134" s="22">
        <f t="shared" si="33"/>
        <v>805.08</v>
      </c>
      <c r="I134" s="23">
        <f t="shared" si="40"/>
        <v>185.16840000000002</v>
      </c>
      <c r="J134" s="23">
        <f t="shared" si="39"/>
        <v>619.91160000000002</v>
      </c>
      <c r="K134" s="22"/>
      <c r="L134" s="22"/>
    </row>
    <row r="135" spans="1:12" x14ac:dyDescent="0.3">
      <c r="A135" s="17"/>
      <c r="B135" s="17"/>
      <c r="C135" s="17"/>
      <c r="D135" s="21" t="s">
        <v>27</v>
      </c>
      <c r="E135" s="12">
        <v>475</v>
      </c>
      <c r="F135" s="22">
        <v>4</v>
      </c>
      <c r="G135" s="22">
        <v>402.54</v>
      </c>
      <c r="H135" s="22">
        <f t="shared" si="33"/>
        <v>1610.16</v>
      </c>
      <c r="I135" s="23">
        <f t="shared" si="40"/>
        <v>370.33680000000004</v>
      </c>
      <c r="J135" s="23">
        <f t="shared" si="39"/>
        <v>1239.8232</v>
      </c>
      <c r="K135" s="22"/>
      <c r="L135" s="22"/>
    </row>
    <row r="136" spans="1:12" x14ac:dyDescent="0.3">
      <c r="A136" s="17"/>
      <c r="B136" s="17"/>
      <c r="C136" s="17"/>
      <c r="D136" s="21"/>
      <c r="E136" s="12"/>
      <c r="F136" s="22"/>
      <c r="G136" s="22"/>
      <c r="H136" s="22"/>
      <c r="I136" s="22"/>
      <c r="J136" s="23">
        <f>SUM(J125:J135)</f>
        <v>11337.942000000001</v>
      </c>
      <c r="K136" s="22">
        <f>SUM(J136)*0.18</f>
        <v>2040.8295600000001</v>
      </c>
      <c r="L136" s="28">
        <f>J136+K136</f>
        <v>13378.771560000001</v>
      </c>
    </row>
    <row r="137" spans="1:12" x14ac:dyDescent="0.3">
      <c r="A137" s="25"/>
      <c r="B137" s="25"/>
      <c r="C137" s="25"/>
      <c r="D137" s="27"/>
      <c r="E137" s="37"/>
      <c r="F137" s="26"/>
      <c r="G137" s="26"/>
      <c r="H137" s="26"/>
      <c r="I137" s="26"/>
      <c r="J137" s="26"/>
      <c r="K137" s="26"/>
      <c r="L137" s="26"/>
    </row>
    <row r="138" spans="1:12" x14ac:dyDescent="0.3">
      <c r="A138" s="20">
        <v>46171</v>
      </c>
      <c r="B138" s="17" t="s">
        <v>28</v>
      </c>
      <c r="C138" s="17" t="s">
        <v>29</v>
      </c>
      <c r="D138" s="21" t="s">
        <v>41</v>
      </c>
      <c r="E138" s="12">
        <v>550</v>
      </c>
      <c r="F138" s="22">
        <v>5</v>
      </c>
      <c r="G138" s="22">
        <v>466.1</v>
      </c>
      <c r="H138" s="22">
        <f>SUM(G138*F138)</f>
        <v>2330.5</v>
      </c>
      <c r="I138" s="23">
        <f>SUM(H138)*0.4</f>
        <v>932.2</v>
      </c>
      <c r="J138" s="23">
        <f t="shared" ref="J138:J154" si="41">H138-I138</f>
        <v>1398.3</v>
      </c>
      <c r="K138" s="22"/>
      <c r="L138" s="22"/>
    </row>
    <row r="139" spans="1:12" x14ac:dyDescent="0.3">
      <c r="A139" s="17"/>
      <c r="B139" s="17"/>
      <c r="C139" s="17"/>
      <c r="D139" s="21" t="s">
        <v>42</v>
      </c>
      <c r="E139" s="12">
        <v>350</v>
      </c>
      <c r="F139" s="22">
        <v>5</v>
      </c>
      <c r="G139" s="22">
        <v>296.61</v>
      </c>
      <c r="H139" s="22">
        <f t="shared" si="33"/>
        <v>1483.0500000000002</v>
      </c>
      <c r="I139" s="23">
        <f t="shared" ref="I139:I143" si="42">SUM(H139)*0.4</f>
        <v>593.22000000000014</v>
      </c>
      <c r="J139" s="23">
        <f t="shared" si="41"/>
        <v>889.83</v>
      </c>
      <c r="K139" s="22"/>
      <c r="L139" s="22"/>
    </row>
    <row r="140" spans="1:12" x14ac:dyDescent="0.3">
      <c r="A140" s="17"/>
      <c r="B140" s="17"/>
      <c r="C140" s="17"/>
      <c r="D140" s="21" t="s">
        <v>43</v>
      </c>
      <c r="E140" s="12">
        <v>550</v>
      </c>
      <c r="F140" s="22">
        <v>5</v>
      </c>
      <c r="G140" s="22">
        <v>466.1</v>
      </c>
      <c r="H140" s="22">
        <f t="shared" si="33"/>
        <v>2330.5</v>
      </c>
      <c r="I140" s="23">
        <f t="shared" si="42"/>
        <v>932.2</v>
      </c>
      <c r="J140" s="23">
        <f t="shared" si="41"/>
        <v>1398.3</v>
      </c>
      <c r="K140" s="22"/>
      <c r="L140" s="22"/>
    </row>
    <row r="141" spans="1:12" x14ac:dyDescent="0.3">
      <c r="A141" s="17"/>
      <c r="B141" s="17"/>
      <c r="C141" s="17"/>
      <c r="D141" s="21" t="s">
        <v>44</v>
      </c>
      <c r="E141" s="12">
        <v>430</v>
      </c>
      <c r="F141" s="22">
        <v>5</v>
      </c>
      <c r="G141" s="22">
        <v>364.41</v>
      </c>
      <c r="H141" s="22">
        <f t="shared" si="33"/>
        <v>1822.0500000000002</v>
      </c>
      <c r="I141" s="23">
        <f t="shared" si="42"/>
        <v>728.82000000000016</v>
      </c>
      <c r="J141" s="23">
        <f t="shared" si="41"/>
        <v>1093.23</v>
      </c>
      <c r="K141" s="22"/>
      <c r="L141" s="22"/>
    </row>
    <row r="142" spans="1:12" x14ac:dyDescent="0.3">
      <c r="A142" s="17"/>
      <c r="B142" s="17"/>
      <c r="C142" s="17"/>
      <c r="D142" s="21" t="s">
        <v>45</v>
      </c>
      <c r="E142" s="12">
        <v>570</v>
      </c>
      <c r="F142" s="22">
        <v>5</v>
      </c>
      <c r="G142" s="22">
        <v>483.05</v>
      </c>
      <c r="H142" s="22">
        <f t="shared" si="33"/>
        <v>2415.25</v>
      </c>
      <c r="I142" s="23">
        <f t="shared" si="42"/>
        <v>966.1</v>
      </c>
      <c r="J142" s="23">
        <f t="shared" si="41"/>
        <v>1449.15</v>
      </c>
      <c r="K142" s="22"/>
      <c r="L142" s="22"/>
    </row>
    <row r="143" spans="1:12" x14ac:dyDescent="0.3">
      <c r="A143" s="17"/>
      <c r="B143" s="17"/>
      <c r="C143" s="17"/>
      <c r="D143" s="21" t="s">
        <v>46</v>
      </c>
      <c r="E143" s="12">
        <v>625</v>
      </c>
      <c r="F143" s="22">
        <v>5</v>
      </c>
      <c r="G143" s="22">
        <v>529.66</v>
      </c>
      <c r="H143" s="22">
        <f t="shared" si="33"/>
        <v>2648.2999999999997</v>
      </c>
      <c r="I143" s="23">
        <f t="shared" si="42"/>
        <v>1059.32</v>
      </c>
      <c r="J143" s="23">
        <f t="shared" si="41"/>
        <v>1588.9799999999998</v>
      </c>
      <c r="K143" s="22"/>
      <c r="L143" s="22"/>
    </row>
    <row r="144" spans="1:12" x14ac:dyDescent="0.3">
      <c r="A144" s="17"/>
      <c r="B144" s="17"/>
      <c r="C144" s="17"/>
      <c r="D144" s="21" t="s">
        <v>47</v>
      </c>
      <c r="E144" s="12">
        <v>695</v>
      </c>
      <c r="F144" s="22">
        <v>6</v>
      </c>
      <c r="G144" s="22">
        <v>588.98</v>
      </c>
      <c r="H144" s="22">
        <f t="shared" si="33"/>
        <v>3533.88</v>
      </c>
      <c r="I144" s="23">
        <f>SUM(H144)*0.4</f>
        <v>1413.5520000000001</v>
      </c>
      <c r="J144" s="23">
        <f t="shared" si="41"/>
        <v>2120.328</v>
      </c>
      <c r="K144" s="22"/>
      <c r="L144" s="22"/>
    </row>
    <row r="145" spans="1:12" ht="15" customHeight="1" x14ac:dyDescent="0.3">
      <c r="A145" s="17"/>
      <c r="B145" s="17"/>
      <c r="C145" s="17"/>
      <c r="D145" s="21" t="s">
        <v>48</v>
      </c>
      <c r="E145" s="12">
        <v>1200</v>
      </c>
      <c r="F145" s="22">
        <v>12</v>
      </c>
      <c r="G145" s="22">
        <v>1016.95</v>
      </c>
      <c r="H145" s="22">
        <f t="shared" si="33"/>
        <v>12203.400000000001</v>
      </c>
      <c r="I145" s="23">
        <f>SUM(H145)*0.5</f>
        <v>6101.7000000000007</v>
      </c>
      <c r="J145" s="23">
        <f t="shared" si="41"/>
        <v>6101.7000000000007</v>
      </c>
      <c r="K145" s="22"/>
      <c r="L145" s="22"/>
    </row>
    <row r="146" spans="1:12" x14ac:dyDescent="0.3">
      <c r="A146" s="17"/>
      <c r="B146" s="17"/>
      <c r="C146" s="17"/>
      <c r="D146" s="21" t="s">
        <v>49</v>
      </c>
      <c r="E146" s="12">
        <v>1740</v>
      </c>
      <c r="F146" s="22">
        <v>2</v>
      </c>
      <c r="G146" s="22">
        <v>1474.58</v>
      </c>
      <c r="H146" s="22">
        <f t="shared" si="33"/>
        <v>2949.16</v>
      </c>
      <c r="I146" s="23">
        <f>SUM(H146)*0.3333</f>
        <v>982.95502799999986</v>
      </c>
      <c r="J146" s="23">
        <f t="shared" si="41"/>
        <v>1966.204972</v>
      </c>
      <c r="K146" s="22"/>
      <c r="L146" s="22"/>
    </row>
    <row r="147" spans="1:12" x14ac:dyDescent="0.3">
      <c r="A147" s="17"/>
      <c r="B147" s="17"/>
      <c r="C147" s="17"/>
      <c r="D147" s="21" t="s">
        <v>50</v>
      </c>
      <c r="E147" s="12">
        <v>1080</v>
      </c>
      <c r="F147" s="22">
        <v>10</v>
      </c>
      <c r="G147" s="22">
        <v>915.25</v>
      </c>
      <c r="H147" s="22">
        <f t="shared" si="33"/>
        <v>9152.5</v>
      </c>
      <c r="I147" s="23">
        <f>SUM(H147)*0.3333</f>
        <v>3050.5282499999998</v>
      </c>
      <c r="J147" s="23">
        <f t="shared" si="41"/>
        <v>6101.9717500000006</v>
      </c>
      <c r="K147" s="22"/>
      <c r="L147" s="22"/>
    </row>
    <row r="148" spans="1:12" x14ac:dyDescent="0.3">
      <c r="A148" s="17"/>
      <c r="B148" s="17"/>
      <c r="C148" s="17"/>
      <c r="D148" s="21" t="s">
        <v>51</v>
      </c>
      <c r="E148" s="12">
        <v>2800</v>
      </c>
      <c r="F148" s="22">
        <v>2</v>
      </c>
      <c r="G148" s="22">
        <v>2372.88</v>
      </c>
      <c r="H148" s="22">
        <f t="shared" si="33"/>
        <v>4745.76</v>
      </c>
      <c r="I148" s="23">
        <f>SUM(H148)*0.5</f>
        <v>2372.88</v>
      </c>
      <c r="J148" s="23">
        <f t="shared" si="41"/>
        <v>2372.88</v>
      </c>
      <c r="K148" s="22"/>
      <c r="L148" s="22"/>
    </row>
    <row r="149" spans="1:12" x14ac:dyDescent="0.3">
      <c r="A149" s="17"/>
      <c r="B149" s="17"/>
      <c r="C149" s="17"/>
      <c r="D149" s="21" t="s">
        <v>52</v>
      </c>
      <c r="E149" s="12">
        <v>1740</v>
      </c>
      <c r="F149" s="22">
        <v>2</v>
      </c>
      <c r="G149" s="22">
        <v>2476.19</v>
      </c>
      <c r="H149" s="22">
        <f t="shared" si="33"/>
        <v>4952.38</v>
      </c>
      <c r="I149" s="23">
        <f t="shared" ref="I149" si="43">SUM(H149)*0.5</f>
        <v>2476.19</v>
      </c>
      <c r="J149" s="23">
        <f t="shared" si="41"/>
        <v>2476.19</v>
      </c>
      <c r="K149" s="22"/>
      <c r="L149" s="22"/>
    </row>
    <row r="150" spans="1:12" x14ac:dyDescent="0.3">
      <c r="A150" s="17"/>
      <c r="B150" s="17"/>
      <c r="C150" s="17"/>
      <c r="D150" s="21" t="s">
        <v>53</v>
      </c>
      <c r="E150" s="12">
        <v>450</v>
      </c>
      <c r="F150" s="22">
        <v>6</v>
      </c>
      <c r="G150" s="22">
        <v>381.36</v>
      </c>
      <c r="H150" s="22">
        <f t="shared" si="33"/>
        <v>2288.16</v>
      </c>
      <c r="I150" s="23">
        <f>SUM(H150)*0.4</f>
        <v>915.26400000000001</v>
      </c>
      <c r="J150" s="23">
        <f t="shared" si="41"/>
        <v>1372.8959999999997</v>
      </c>
      <c r="K150" s="22"/>
      <c r="L150" s="22"/>
    </row>
    <row r="151" spans="1:12" x14ac:dyDescent="0.3">
      <c r="A151" s="17"/>
      <c r="B151" s="17"/>
      <c r="C151" s="17"/>
      <c r="D151" s="21" t="s">
        <v>54</v>
      </c>
      <c r="E151" s="12">
        <v>650</v>
      </c>
      <c r="F151" s="22">
        <v>4</v>
      </c>
      <c r="G151" s="22">
        <v>550.85</v>
      </c>
      <c r="H151" s="22">
        <f t="shared" si="33"/>
        <v>2203.4</v>
      </c>
      <c r="I151" s="23">
        <f t="shared" ref="I151:I152" si="44">SUM(H151)*0.4</f>
        <v>881.36000000000013</v>
      </c>
      <c r="J151" s="23">
        <f t="shared" si="41"/>
        <v>1322.04</v>
      </c>
      <c r="K151" s="22"/>
      <c r="L151" s="22"/>
    </row>
    <row r="152" spans="1:12" x14ac:dyDescent="0.3">
      <c r="A152" s="17"/>
      <c r="B152" s="17"/>
      <c r="C152" s="17"/>
      <c r="D152" s="17" t="s">
        <v>55</v>
      </c>
      <c r="E152" s="12">
        <v>600</v>
      </c>
      <c r="F152" s="17">
        <v>4</v>
      </c>
      <c r="G152" s="17">
        <v>508.85</v>
      </c>
      <c r="H152" s="17">
        <f t="shared" si="33"/>
        <v>2035.4</v>
      </c>
      <c r="I152" s="29">
        <f t="shared" si="44"/>
        <v>814.16000000000008</v>
      </c>
      <c r="J152" s="23">
        <f t="shared" si="41"/>
        <v>1221.24</v>
      </c>
      <c r="K152" s="22"/>
      <c r="L152" s="22"/>
    </row>
    <row r="153" spans="1:12" x14ac:dyDescent="0.3">
      <c r="A153" s="17"/>
      <c r="B153" s="17"/>
      <c r="C153" s="17"/>
      <c r="D153" s="17" t="s">
        <v>56</v>
      </c>
      <c r="E153" s="12">
        <v>1500</v>
      </c>
      <c r="F153" s="17">
        <v>4</v>
      </c>
      <c r="G153" s="17">
        <v>1271.19</v>
      </c>
      <c r="H153" s="17">
        <f t="shared" si="33"/>
        <v>5084.76</v>
      </c>
      <c r="I153" s="29">
        <f>SUM(H153)*0.3333</f>
        <v>1694.7505080000001</v>
      </c>
      <c r="J153" s="23">
        <f t="shared" si="41"/>
        <v>3390.0094920000001</v>
      </c>
      <c r="K153" s="22"/>
      <c r="L153" s="22"/>
    </row>
    <row r="154" spans="1:12" x14ac:dyDescent="0.3">
      <c r="A154" s="17"/>
      <c r="B154" s="17"/>
      <c r="C154" s="17"/>
      <c r="D154" s="17" t="s">
        <v>57</v>
      </c>
      <c r="E154" s="12">
        <v>3480</v>
      </c>
      <c r="F154" s="17">
        <v>2</v>
      </c>
      <c r="G154" s="17">
        <v>2949.15</v>
      </c>
      <c r="H154" s="17">
        <f t="shared" si="33"/>
        <v>5898.3</v>
      </c>
      <c r="I154" s="29">
        <f>SUM(H154)*0.3333</f>
        <v>1965.9033899999999</v>
      </c>
      <c r="J154" s="23">
        <f t="shared" si="41"/>
        <v>3932.3966100000002</v>
      </c>
      <c r="K154" s="22"/>
      <c r="L154" s="22"/>
    </row>
    <row r="155" spans="1:12" x14ac:dyDescent="0.3">
      <c r="A155" s="17"/>
      <c r="B155" s="17"/>
      <c r="C155" s="17"/>
      <c r="D155" s="46"/>
      <c r="E155" s="12"/>
      <c r="F155" s="17"/>
      <c r="G155" s="17"/>
      <c r="H155" s="17"/>
      <c r="I155" s="17"/>
      <c r="J155" s="23">
        <f>SUM(J138:J154)</f>
        <v>40195.646824000003</v>
      </c>
      <c r="K155" s="22">
        <v>6913.16</v>
      </c>
      <c r="L155" s="28">
        <f>J155+K155</f>
        <v>47108.806823999999</v>
      </c>
    </row>
    <row r="156" spans="1:12" x14ac:dyDescent="0.3">
      <c r="A156" s="25"/>
      <c r="B156" s="25"/>
      <c r="C156" s="25"/>
      <c r="D156" s="27"/>
      <c r="E156" s="37"/>
      <c r="F156" s="26"/>
      <c r="G156" s="26"/>
      <c r="H156" s="26"/>
      <c r="I156" s="26"/>
      <c r="J156" s="26"/>
      <c r="K156" s="26"/>
      <c r="L156" s="26"/>
    </row>
    <row r="157" spans="1:12" x14ac:dyDescent="0.3">
      <c r="A157" s="8">
        <v>46171</v>
      </c>
      <c r="B157" s="8" t="s">
        <v>11</v>
      </c>
      <c r="C157" s="7" t="s">
        <v>5</v>
      </c>
      <c r="D157" s="44" t="s">
        <v>144</v>
      </c>
      <c r="E157" s="12">
        <v>36000</v>
      </c>
      <c r="F157" s="7">
        <v>2</v>
      </c>
      <c r="G157" s="7">
        <v>21355.93</v>
      </c>
      <c r="H157" s="17">
        <f t="shared" ref="H157:H159" si="45">SUM(G157*F157)</f>
        <v>42711.86</v>
      </c>
      <c r="I157" s="7">
        <v>0</v>
      </c>
      <c r="J157" s="23">
        <f t="shared" ref="J157:J159" si="46">H157-I157</f>
        <v>42711.86</v>
      </c>
      <c r="K157" s="9"/>
      <c r="L157" s="12"/>
    </row>
    <row r="158" spans="1:12" x14ac:dyDescent="0.3">
      <c r="A158" s="1"/>
      <c r="B158" s="1"/>
      <c r="C158" s="1"/>
      <c r="D158" s="44" t="s">
        <v>145</v>
      </c>
      <c r="E158" s="12">
        <v>3825</v>
      </c>
      <c r="F158" s="7">
        <v>1</v>
      </c>
      <c r="G158" s="7">
        <v>2550.48</v>
      </c>
      <c r="H158" s="17">
        <f t="shared" si="45"/>
        <v>2550.48</v>
      </c>
      <c r="I158" s="7">
        <v>0</v>
      </c>
      <c r="J158" s="23">
        <f t="shared" si="46"/>
        <v>2550.48</v>
      </c>
      <c r="K158" s="9"/>
      <c r="L158" s="12"/>
    </row>
    <row r="159" spans="1:12" x14ac:dyDescent="0.3">
      <c r="A159" s="8"/>
      <c r="B159" s="8"/>
      <c r="C159" s="7"/>
      <c r="D159" s="21" t="s">
        <v>146</v>
      </c>
      <c r="E159" s="12">
        <v>4100</v>
      </c>
      <c r="F159" s="11">
        <v>1</v>
      </c>
      <c r="G159" s="11">
        <v>2432.1999999999998</v>
      </c>
      <c r="H159" s="17">
        <f t="shared" si="45"/>
        <v>2432.1999999999998</v>
      </c>
      <c r="I159" s="11">
        <v>0</v>
      </c>
      <c r="J159" s="23">
        <f t="shared" si="46"/>
        <v>2432.1999999999998</v>
      </c>
      <c r="K159" s="13"/>
      <c r="L159" s="14"/>
    </row>
    <row r="160" spans="1:12" x14ac:dyDescent="0.3">
      <c r="A160" s="8"/>
      <c r="B160" s="8"/>
      <c r="C160" s="7"/>
      <c r="D160" s="21"/>
      <c r="E160" s="12"/>
      <c r="F160" s="11"/>
      <c r="G160" s="11"/>
      <c r="H160" s="17"/>
      <c r="I160" s="11"/>
      <c r="J160" s="23">
        <f>SUM(J157:J159)</f>
        <v>47694.54</v>
      </c>
      <c r="K160" s="22">
        <v>8253.4599999999991</v>
      </c>
      <c r="L160" s="28">
        <f>J160+K160</f>
        <v>55948</v>
      </c>
    </row>
    <row r="161" spans="1:13" ht="15" customHeight="1" x14ac:dyDescent="0.3">
      <c r="A161" s="30"/>
      <c r="B161" s="30"/>
      <c r="C161" s="31"/>
      <c r="D161" s="47"/>
      <c r="E161" s="37"/>
      <c r="F161" s="32"/>
      <c r="G161" s="32"/>
      <c r="H161" s="32"/>
      <c r="I161" s="32"/>
      <c r="J161" s="33"/>
      <c r="K161" s="32"/>
      <c r="L161" s="33"/>
      <c r="M161" s="10"/>
    </row>
    <row r="162" spans="1:13" x14ac:dyDescent="0.3">
      <c r="A162" s="8">
        <v>46171</v>
      </c>
      <c r="B162" s="8" t="s">
        <v>12</v>
      </c>
      <c r="C162" s="7" t="s">
        <v>6</v>
      </c>
      <c r="D162" s="17" t="s">
        <v>147</v>
      </c>
      <c r="E162" s="12">
        <v>1850</v>
      </c>
      <c r="F162" s="7">
        <v>2</v>
      </c>
      <c r="G162" s="7">
        <v>1761.9</v>
      </c>
      <c r="H162" s="17">
        <f t="shared" ref="H162:H165" si="47">SUM(G162*F162)</f>
        <v>3523.8</v>
      </c>
      <c r="I162" s="29">
        <v>0</v>
      </c>
      <c r="J162" s="23">
        <f t="shared" ref="J162:J165" si="48">H162-I162</f>
        <v>3523.8</v>
      </c>
      <c r="K162" s="9"/>
      <c r="L162" s="12"/>
    </row>
    <row r="163" spans="1:13" x14ac:dyDescent="0.3">
      <c r="A163" s="8"/>
      <c r="B163" s="8"/>
      <c r="C163" s="7"/>
      <c r="D163" s="17" t="s">
        <v>147</v>
      </c>
      <c r="E163" s="12">
        <v>1850</v>
      </c>
      <c r="F163" s="7">
        <v>1</v>
      </c>
      <c r="G163" s="7">
        <v>0</v>
      </c>
      <c r="H163" s="17">
        <f t="shared" si="47"/>
        <v>0</v>
      </c>
      <c r="I163" s="7">
        <v>0</v>
      </c>
      <c r="J163" s="23">
        <f t="shared" si="48"/>
        <v>0</v>
      </c>
      <c r="K163" s="9"/>
      <c r="L163" s="12"/>
    </row>
    <row r="164" spans="1:13" x14ac:dyDescent="0.3">
      <c r="A164" s="8"/>
      <c r="B164" s="8"/>
      <c r="C164" s="7"/>
      <c r="D164" s="17" t="s">
        <v>148</v>
      </c>
      <c r="E164" s="12">
        <v>2200</v>
      </c>
      <c r="F164" s="7">
        <v>2</v>
      </c>
      <c r="G164" s="7">
        <v>1864.41</v>
      </c>
      <c r="H164" s="17">
        <f t="shared" si="47"/>
        <v>3728.82</v>
      </c>
      <c r="I164" s="7">
        <v>0</v>
      </c>
      <c r="J164" s="23">
        <f t="shared" si="48"/>
        <v>3728.82</v>
      </c>
      <c r="K164" s="9"/>
      <c r="L164" s="12"/>
    </row>
    <row r="165" spans="1:13" x14ac:dyDescent="0.3">
      <c r="A165" s="8"/>
      <c r="B165" s="8"/>
      <c r="C165" s="7"/>
      <c r="D165" s="17" t="s">
        <v>148</v>
      </c>
      <c r="E165" s="12">
        <v>2200</v>
      </c>
      <c r="F165" s="7">
        <v>1</v>
      </c>
      <c r="G165" s="7"/>
      <c r="H165" s="17">
        <f t="shared" si="47"/>
        <v>0</v>
      </c>
      <c r="I165" s="7">
        <v>0</v>
      </c>
      <c r="J165" s="23">
        <f t="shared" si="48"/>
        <v>0</v>
      </c>
      <c r="K165" s="9"/>
      <c r="L165" s="12"/>
    </row>
    <row r="166" spans="1:13" ht="15" customHeight="1" x14ac:dyDescent="0.3">
      <c r="A166" s="15"/>
      <c r="B166" s="15"/>
      <c r="C166" s="15"/>
      <c r="D166" s="48"/>
      <c r="E166" s="12"/>
      <c r="F166" s="15"/>
      <c r="G166" s="15"/>
      <c r="H166" s="15"/>
      <c r="I166" s="15"/>
      <c r="J166" s="12">
        <f>SUM(J162:J165)</f>
        <v>7252.6200000000008</v>
      </c>
      <c r="K166" s="22">
        <v>847.38</v>
      </c>
      <c r="L166" s="28">
        <f>J166+K166</f>
        <v>8100.0000000000009</v>
      </c>
    </row>
    <row r="167" spans="1:13" ht="15" customHeight="1" x14ac:dyDescent="0.3">
      <c r="A167" s="32"/>
      <c r="B167" s="32"/>
      <c r="C167" s="32"/>
      <c r="D167" s="49"/>
      <c r="E167" s="37"/>
      <c r="F167" s="32"/>
      <c r="G167" s="32"/>
      <c r="H167" s="32"/>
      <c r="I167" s="32"/>
      <c r="J167" s="34"/>
      <c r="K167" s="25"/>
      <c r="L167" s="35"/>
    </row>
    <row r="168" spans="1:13" x14ac:dyDescent="0.3">
      <c r="A168" s="8">
        <v>46172</v>
      </c>
      <c r="B168" s="17" t="s">
        <v>14</v>
      </c>
      <c r="C168" s="7" t="s">
        <v>9</v>
      </c>
      <c r="D168" s="17" t="s">
        <v>149</v>
      </c>
      <c r="E168" s="12">
        <v>920</v>
      </c>
      <c r="F168" s="17">
        <v>72</v>
      </c>
      <c r="G168" s="18">
        <v>779.66</v>
      </c>
      <c r="H168" s="17">
        <f t="shared" ref="H168:H169" si="49">SUM(G168*F168)</f>
        <v>56135.519999999997</v>
      </c>
      <c r="I168" s="29">
        <f>SUM(H168)*0.35</f>
        <v>19647.431999999997</v>
      </c>
      <c r="J168" s="23">
        <f t="shared" ref="J168:J169" si="50">H168-I168</f>
        <v>36488.088000000003</v>
      </c>
      <c r="K168" s="18"/>
      <c r="L168" s="12"/>
    </row>
    <row r="169" spans="1:13" x14ac:dyDescent="0.3">
      <c r="A169" s="8"/>
      <c r="B169" s="8"/>
      <c r="C169" s="7"/>
      <c r="D169" s="17" t="s">
        <v>150</v>
      </c>
      <c r="E169" s="12">
        <v>290</v>
      </c>
      <c r="F169" s="17">
        <v>140</v>
      </c>
      <c r="G169" s="18">
        <v>245.76</v>
      </c>
      <c r="H169" s="17">
        <f t="shared" si="49"/>
        <v>34406.400000000001</v>
      </c>
      <c r="I169" s="29">
        <f>SUM(H169)*0.3</f>
        <v>10321.92</v>
      </c>
      <c r="J169" s="23">
        <f t="shared" si="50"/>
        <v>24084.480000000003</v>
      </c>
      <c r="K169" s="9"/>
      <c r="L169" s="12"/>
    </row>
    <row r="170" spans="1:13" x14ac:dyDescent="0.3">
      <c r="A170" s="1"/>
      <c r="B170" s="8"/>
      <c r="C170" s="1"/>
      <c r="D170" s="46"/>
      <c r="E170" s="12"/>
      <c r="F170" s="7"/>
      <c r="G170" s="9"/>
      <c r="H170" s="7"/>
      <c r="I170" s="9"/>
      <c r="J170" s="12">
        <f>SUM(J168:J169)</f>
        <v>60572.568000000007</v>
      </c>
      <c r="K170" s="22">
        <v>10903.07</v>
      </c>
      <c r="L170" s="28">
        <f>J170+K170</f>
        <v>71475.638000000006</v>
      </c>
    </row>
    <row r="171" spans="1:13" x14ac:dyDescent="0.3">
      <c r="A171" s="30"/>
      <c r="B171" s="30"/>
      <c r="C171" s="36"/>
      <c r="D171" s="25"/>
      <c r="E171" s="37"/>
      <c r="F171" s="31"/>
      <c r="G171" s="38"/>
      <c r="H171" s="31"/>
      <c r="I171" s="38"/>
      <c r="J171" s="37"/>
      <c r="K171" s="38"/>
      <c r="L171" s="37"/>
    </row>
    <row r="172" spans="1:13" x14ac:dyDescent="0.3">
      <c r="A172" s="8">
        <v>46174</v>
      </c>
      <c r="B172" s="17" t="s">
        <v>20</v>
      </c>
      <c r="C172" s="18" t="s">
        <v>60</v>
      </c>
      <c r="D172" s="7" t="s">
        <v>63</v>
      </c>
      <c r="E172" s="7">
        <v>475</v>
      </c>
      <c r="F172" s="2">
        <v>4</v>
      </c>
      <c r="G172" s="2">
        <v>402.54</v>
      </c>
      <c r="H172" s="17">
        <f t="shared" ref="H172:H184" si="51">SUM(G172*F172)</f>
        <v>1610.16</v>
      </c>
      <c r="I172" s="29">
        <f>SUM(H172)*0.23</f>
        <v>370.33680000000004</v>
      </c>
      <c r="J172" s="23">
        <f t="shared" ref="J172:J184" si="52">H172-I172</f>
        <v>1239.8232</v>
      </c>
      <c r="K172" s="9"/>
      <c r="L172" s="12"/>
    </row>
    <row r="173" spans="1:13" x14ac:dyDescent="0.3">
      <c r="A173" s="8"/>
      <c r="B173" s="8"/>
      <c r="C173" s="18"/>
      <c r="D173" s="7" t="s">
        <v>64</v>
      </c>
      <c r="E173" s="7">
        <v>475</v>
      </c>
      <c r="F173" s="2">
        <v>2</v>
      </c>
      <c r="G173" s="2">
        <v>402.54</v>
      </c>
      <c r="H173" s="17">
        <f t="shared" si="51"/>
        <v>805.08</v>
      </c>
      <c r="I173" s="29">
        <f t="shared" ref="I173:I184" si="53">SUM(H173)*0.23</f>
        <v>185.16840000000002</v>
      </c>
      <c r="J173" s="23">
        <f t="shared" si="52"/>
        <v>619.91160000000002</v>
      </c>
      <c r="K173" s="9"/>
      <c r="L173" s="12"/>
    </row>
    <row r="174" spans="1:13" x14ac:dyDescent="0.3">
      <c r="A174" s="8"/>
      <c r="B174" s="8"/>
      <c r="C174" s="18"/>
      <c r="D174" s="7" t="s">
        <v>65</v>
      </c>
      <c r="E174" s="7">
        <v>475</v>
      </c>
      <c r="F174" s="2">
        <v>4</v>
      </c>
      <c r="G174" s="2">
        <v>402.54</v>
      </c>
      <c r="H174" s="17">
        <f t="shared" si="51"/>
        <v>1610.16</v>
      </c>
      <c r="I174" s="29">
        <f t="shared" si="53"/>
        <v>370.33680000000004</v>
      </c>
      <c r="J174" s="23">
        <f t="shared" si="52"/>
        <v>1239.8232</v>
      </c>
      <c r="K174" s="9"/>
      <c r="L174" s="12"/>
    </row>
    <row r="175" spans="1:13" x14ac:dyDescent="0.3">
      <c r="A175" s="8"/>
      <c r="B175" s="8"/>
      <c r="C175" s="18"/>
      <c r="D175" s="7" t="s">
        <v>66</v>
      </c>
      <c r="E175" s="7">
        <v>550</v>
      </c>
      <c r="F175" s="2">
        <v>20</v>
      </c>
      <c r="G175" s="2">
        <v>466.1</v>
      </c>
      <c r="H175" s="17">
        <f t="shared" si="51"/>
        <v>9322</v>
      </c>
      <c r="I175" s="29">
        <f t="shared" si="53"/>
        <v>2144.06</v>
      </c>
      <c r="J175" s="23">
        <f t="shared" si="52"/>
        <v>7177.9400000000005</v>
      </c>
      <c r="K175" s="9"/>
      <c r="L175" s="12"/>
    </row>
    <row r="176" spans="1:13" x14ac:dyDescent="0.3">
      <c r="A176" s="8"/>
      <c r="B176" s="8"/>
      <c r="C176" s="18"/>
      <c r="D176" s="7" t="s">
        <v>67</v>
      </c>
      <c r="E176" s="7">
        <v>550</v>
      </c>
      <c r="F176" s="2">
        <v>10</v>
      </c>
      <c r="G176" s="2">
        <v>466.1</v>
      </c>
      <c r="H176" s="17">
        <f t="shared" si="51"/>
        <v>4661</v>
      </c>
      <c r="I176" s="29">
        <f t="shared" si="53"/>
        <v>1072.03</v>
      </c>
      <c r="J176" s="23">
        <f t="shared" si="52"/>
        <v>3588.9700000000003</v>
      </c>
      <c r="K176" s="9"/>
      <c r="L176" s="12"/>
    </row>
    <row r="177" spans="1:12" x14ac:dyDescent="0.3">
      <c r="A177" s="8"/>
      <c r="B177" s="8"/>
      <c r="C177" s="18"/>
      <c r="D177" s="7" t="s">
        <v>68</v>
      </c>
      <c r="E177" s="7">
        <v>880</v>
      </c>
      <c r="F177" s="2">
        <v>6</v>
      </c>
      <c r="G177" s="2">
        <v>745.76</v>
      </c>
      <c r="H177" s="17">
        <f t="shared" si="51"/>
        <v>4474.5599999999995</v>
      </c>
      <c r="I177" s="29">
        <f t="shared" si="53"/>
        <v>1029.1487999999999</v>
      </c>
      <c r="J177" s="23">
        <f t="shared" si="52"/>
        <v>3445.4111999999996</v>
      </c>
      <c r="K177" s="9"/>
      <c r="L177" s="12"/>
    </row>
    <row r="178" spans="1:12" x14ac:dyDescent="0.3">
      <c r="A178" s="8"/>
      <c r="B178" s="8"/>
      <c r="C178" s="18"/>
      <c r="D178" s="7" t="s">
        <v>69</v>
      </c>
      <c r="E178" s="7">
        <v>880</v>
      </c>
      <c r="F178" s="2">
        <v>3</v>
      </c>
      <c r="G178" s="2">
        <v>745.76</v>
      </c>
      <c r="H178" s="17">
        <f t="shared" si="51"/>
        <v>2237.2799999999997</v>
      </c>
      <c r="I178" s="29">
        <f t="shared" si="53"/>
        <v>514.57439999999997</v>
      </c>
      <c r="J178" s="23">
        <f t="shared" si="52"/>
        <v>1722.7055999999998</v>
      </c>
      <c r="K178" s="9"/>
      <c r="L178" s="12"/>
    </row>
    <row r="179" spans="1:12" x14ac:dyDescent="0.3">
      <c r="A179" s="8"/>
      <c r="B179" s="8"/>
      <c r="C179" s="18"/>
      <c r="D179" s="7" t="s">
        <v>70</v>
      </c>
      <c r="E179" s="7">
        <v>475</v>
      </c>
      <c r="F179" s="2">
        <v>5</v>
      </c>
      <c r="G179" s="2">
        <v>402.54</v>
      </c>
      <c r="H179" s="17">
        <f t="shared" si="51"/>
        <v>2012.7</v>
      </c>
      <c r="I179" s="29">
        <f t="shared" si="53"/>
        <v>462.92100000000005</v>
      </c>
      <c r="J179" s="23">
        <f t="shared" si="52"/>
        <v>1549.779</v>
      </c>
      <c r="K179" s="9"/>
      <c r="L179" s="12"/>
    </row>
    <row r="180" spans="1:12" x14ac:dyDescent="0.3">
      <c r="A180" s="8"/>
      <c r="B180" s="8"/>
      <c r="C180" s="18"/>
      <c r="D180" s="7" t="s">
        <v>71</v>
      </c>
      <c r="E180" s="7">
        <v>475</v>
      </c>
      <c r="F180" s="2">
        <v>4</v>
      </c>
      <c r="G180" s="2">
        <v>402.54</v>
      </c>
      <c r="H180" s="17">
        <f t="shared" si="51"/>
        <v>1610.16</v>
      </c>
      <c r="I180" s="29">
        <f t="shared" si="53"/>
        <v>370.33680000000004</v>
      </c>
      <c r="J180" s="23">
        <f t="shared" si="52"/>
        <v>1239.8232</v>
      </c>
      <c r="K180" s="9"/>
      <c r="L180" s="12"/>
    </row>
    <row r="181" spans="1:12" x14ac:dyDescent="0.3">
      <c r="A181" s="8"/>
      <c r="B181" s="8"/>
      <c r="C181" s="18"/>
      <c r="D181" s="7" t="s">
        <v>72</v>
      </c>
      <c r="E181" s="7">
        <v>425</v>
      </c>
      <c r="F181" s="2">
        <v>2</v>
      </c>
      <c r="G181" s="2">
        <v>360.17</v>
      </c>
      <c r="H181" s="17">
        <f t="shared" si="51"/>
        <v>720.34</v>
      </c>
      <c r="I181" s="29">
        <f t="shared" si="53"/>
        <v>165.6782</v>
      </c>
      <c r="J181" s="23">
        <f t="shared" si="52"/>
        <v>554.66180000000008</v>
      </c>
      <c r="K181" s="9"/>
      <c r="L181" s="12"/>
    </row>
    <row r="182" spans="1:12" x14ac:dyDescent="0.3">
      <c r="A182" s="8"/>
      <c r="B182" s="8"/>
      <c r="C182" s="18"/>
      <c r="D182" s="7" t="s">
        <v>73</v>
      </c>
      <c r="E182" s="7">
        <v>475</v>
      </c>
      <c r="F182" s="2">
        <v>3</v>
      </c>
      <c r="G182" s="2">
        <v>402.54</v>
      </c>
      <c r="H182" s="17">
        <f t="shared" si="51"/>
        <v>1207.6200000000001</v>
      </c>
      <c r="I182" s="29">
        <f t="shared" si="53"/>
        <v>277.75260000000003</v>
      </c>
      <c r="J182" s="23">
        <f t="shared" si="52"/>
        <v>929.86740000000009</v>
      </c>
      <c r="K182" s="9"/>
      <c r="L182" s="12"/>
    </row>
    <row r="183" spans="1:12" x14ac:dyDescent="0.3">
      <c r="A183" s="8"/>
      <c r="B183" s="8"/>
      <c r="C183" s="18"/>
      <c r="D183" s="2" t="s">
        <v>74</v>
      </c>
      <c r="E183" s="2">
        <v>660</v>
      </c>
      <c r="F183" s="2">
        <v>12</v>
      </c>
      <c r="G183" s="2">
        <v>559.32000000000005</v>
      </c>
      <c r="H183" s="17">
        <f t="shared" si="51"/>
        <v>6711.84</v>
      </c>
      <c r="I183" s="29">
        <f t="shared" si="53"/>
        <v>1543.7232000000001</v>
      </c>
      <c r="J183" s="23">
        <f t="shared" si="52"/>
        <v>5168.1167999999998</v>
      </c>
      <c r="K183" s="9"/>
      <c r="L183" s="12"/>
    </row>
    <row r="184" spans="1:12" x14ac:dyDescent="0.3">
      <c r="A184" s="8"/>
      <c r="B184" s="8"/>
      <c r="C184" s="18"/>
      <c r="D184" s="2" t="s">
        <v>62</v>
      </c>
      <c r="E184" s="2">
        <v>660</v>
      </c>
      <c r="F184" s="7">
        <v>12</v>
      </c>
      <c r="G184" s="2">
        <v>559.32000000000005</v>
      </c>
      <c r="H184" s="17">
        <f t="shared" si="51"/>
        <v>6711.84</v>
      </c>
      <c r="I184" s="29">
        <f t="shared" si="53"/>
        <v>1543.7232000000001</v>
      </c>
      <c r="J184" s="23">
        <f t="shared" si="52"/>
        <v>5168.1167999999998</v>
      </c>
      <c r="K184" s="9"/>
      <c r="L184" s="12"/>
    </row>
    <row r="185" spans="1:12" x14ac:dyDescent="0.3">
      <c r="A185" s="8"/>
      <c r="B185" s="8"/>
      <c r="C185" s="18"/>
      <c r="D185" s="17"/>
      <c r="E185" s="12"/>
      <c r="F185" s="7"/>
      <c r="G185" s="9"/>
      <c r="H185" s="7"/>
      <c r="I185" s="9"/>
      <c r="J185" s="14">
        <f>SUM(J172:J184)</f>
        <v>33644.949800000002</v>
      </c>
      <c r="K185" s="14">
        <v>6056.06</v>
      </c>
      <c r="L185" s="28">
        <f>J185+K185</f>
        <v>39701.0098</v>
      </c>
    </row>
    <row r="186" spans="1:12" x14ac:dyDescent="0.3">
      <c r="A186" s="30"/>
      <c r="B186" s="30"/>
      <c r="C186" s="36"/>
      <c r="D186" s="25"/>
      <c r="E186" s="37"/>
      <c r="F186" s="31"/>
      <c r="G186" s="38"/>
      <c r="H186" s="31"/>
      <c r="I186" s="38"/>
      <c r="J186" s="52"/>
      <c r="K186" s="38"/>
      <c r="L186" s="37"/>
    </row>
    <row r="187" spans="1:12" x14ac:dyDescent="0.3">
      <c r="A187" s="39">
        <v>46176</v>
      </c>
      <c r="B187" s="8" t="s">
        <v>11</v>
      </c>
      <c r="C187" s="40" t="s">
        <v>30</v>
      </c>
      <c r="D187" s="17" t="s">
        <v>31</v>
      </c>
      <c r="E187" s="12">
        <v>485</v>
      </c>
      <c r="F187" s="2">
        <v>3</v>
      </c>
      <c r="G187" s="7">
        <v>411.02</v>
      </c>
      <c r="H187" s="17">
        <f>SUM(G187*F187)</f>
        <v>1233.06</v>
      </c>
      <c r="I187" s="42">
        <v>0</v>
      </c>
      <c r="J187" s="23">
        <f t="shared" ref="J187:J195" si="54">H187-I187</f>
        <v>1233.06</v>
      </c>
      <c r="K187" s="15"/>
      <c r="L187" s="16"/>
    </row>
    <row r="188" spans="1:12" x14ac:dyDescent="0.3">
      <c r="A188" s="41"/>
      <c r="B188" s="41"/>
      <c r="C188" s="7"/>
      <c r="D188" s="17" t="s">
        <v>32</v>
      </c>
      <c r="E188" s="12">
        <v>485</v>
      </c>
      <c r="F188" s="2">
        <v>3</v>
      </c>
      <c r="G188" s="7">
        <v>411.02</v>
      </c>
      <c r="H188" s="17">
        <f t="shared" ref="H188:H195" si="55">SUM(G188*F188)</f>
        <v>1233.06</v>
      </c>
      <c r="I188" s="42">
        <v>0</v>
      </c>
      <c r="J188" s="23">
        <f t="shared" si="54"/>
        <v>1233.06</v>
      </c>
      <c r="K188" s="5"/>
      <c r="L188" s="6"/>
    </row>
    <row r="189" spans="1:12" x14ac:dyDescent="0.3">
      <c r="A189" s="8"/>
      <c r="B189" s="8"/>
      <c r="C189" s="7"/>
      <c r="D189" s="17" t="s">
        <v>33</v>
      </c>
      <c r="E189" s="12">
        <v>485</v>
      </c>
      <c r="F189" s="2">
        <v>3</v>
      </c>
      <c r="G189" s="7">
        <v>411.02</v>
      </c>
      <c r="H189" s="17">
        <f t="shared" si="55"/>
        <v>1233.06</v>
      </c>
      <c r="I189" s="42">
        <v>0</v>
      </c>
      <c r="J189" s="23">
        <f t="shared" si="54"/>
        <v>1233.06</v>
      </c>
      <c r="K189" s="3"/>
      <c r="L189" s="4"/>
    </row>
    <row r="190" spans="1:12" x14ac:dyDescent="0.3">
      <c r="A190" s="8"/>
      <c r="C190" s="7"/>
      <c r="D190" s="17" t="s">
        <v>34</v>
      </c>
      <c r="E190" s="12">
        <v>485</v>
      </c>
      <c r="F190" s="2">
        <v>2</v>
      </c>
      <c r="G190" s="7">
        <v>411.02</v>
      </c>
      <c r="H190" s="17">
        <f t="shared" si="55"/>
        <v>822.04</v>
      </c>
      <c r="I190" s="42">
        <v>0</v>
      </c>
      <c r="J190" s="23">
        <f t="shared" si="54"/>
        <v>822.04</v>
      </c>
      <c r="K190" s="3"/>
      <c r="L190" s="4"/>
    </row>
    <row r="191" spans="1:12" x14ac:dyDescent="0.3">
      <c r="A191" s="8"/>
      <c r="B191" s="8"/>
      <c r="C191" s="7"/>
      <c r="D191" s="17" t="s">
        <v>35</v>
      </c>
      <c r="E191" s="12">
        <v>840</v>
      </c>
      <c r="F191" s="2">
        <v>1</v>
      </c>
      <c r="G191" s="7">
        <v>711.86</v>
      </c>
      <c r="H191" s="17">
        <f t="shared" si="55"/>
        <v>711.86</v>
      </c>
      <c r="I191" s="42">
        <v>0</v>
      </c>
      <c r="J191" s="23">
        <f t="shared" si="54"/>
        <v>711.86</v>
      </c>
      <c r="K191" s="3"/>
      <c r="L191" s="4"/>
    </row>
    <row r="192" spans="1:12" x14ac:dyDescent="0.3">
      <c r="A192" s="8"/>
      <c r="B192" s="8"/>
      <c r="C192" s="7"/>
      <c r="D192" s="17" t="s">
        <v>36</v>
      </c>
      <c r="E192" s="12">
        <v>800</v>
      </c>
      <c r="F192" s="2">
        <v>1</v>
      </c>
      <c r="G192" s="7">
        <v>677.97</v>
      </c>
      <c r="H192" s="17">
        <f t="shared" si="55"/>
        <v>677.97</v>
      </c>
      <c r="I192" s="42">
        <v>0</v>
      </c>
      <c r="J192" s="23">
        <f t="shared" si="54"/>
        <v>677.97</v>
      </c>
      <c r="K192" s="3"/>
      <c r="L192" s="4"/>
    </row>
    <row r="193" spans="1:12" x14ac:dyDescent="0.3">
      <c r="A193" s="8"/>
      <c r="B193" s="8"/>
      <c r="C193" s="7"/>
      <c r="D193" s="17" t="s">
        <v>37</v>
      </c>
      <c r="E193" s="12">
        <v>485</v>
      </c>
      <c r="F193" s="2">
        <v>3</v>
      </c>
      <c r="G193" s="7">
        <v>411.02</v>
      </c>
      <c r="H193" s="17">
        <f t="shared" si="55"/>
        <v>1233.06</v>
      </c>
      <c r="I193" s="42">
        <v>0</v>
      </c>
      <c r="J193" s="23">
        <f t="shared" si="54"/>
        <v>1233.06</v>
      </c>
      <c r="K193" s="3"/>
      <c r="L193" s="4"/>
    </row>
    <row r="194" spans="1:12" x14ac:dyDescent="0.3">
      <c r="A194" s="1"/>
      <c r="B194" s="1"/>
      <c r="C194" s="1"/>
      <c r="D194" s="17" t="s">
        <v>38</v>
      </c>
      <c r="E194" s="12">
        <v>485</v>
      </c>
      <c r="F194" s="2">
        <v>3</v>
      </c>
      <c r="G194" s="7">
        <v>411.02</v>
      </c>
      <c r="H194" s="17">
        <f t="shared" si="55"/>
        <v>1233.06</v>
      </c>
      <c r="I194" s="42">
        <v>0</v>
      </c>
      <c r="J194" s="29">
        <f t="shared" si="54"/>
        <v>1233.06</v>
      </c>
      <c r="K194" s="1"/>
      <c r="L194" s="1"/>
    </row>
    <row r="195" spans="1:12" ht="15.6" customHeight="1" x14ac:dyDescent="0.3">
      <c r="A195" s="19"/>
      <c r="B195" s="19"/>
      <c r="C195" s="19"/>
      <c r="D195" s="17" t="s">
        <v>39</v>
      </c>
      <c r="E195" s="12">
        <v>485</v>
      </c>
      <c r="F195" s="2">
        <v>2</v>
      </c>
      <c r="G195" s="7">
        <v>411.02</v>
      </c>
      <c r="H195" s="17">
        <f t="shared" si="55"/>
        <v>822.04</v>
      </c>
      <c r="I195" s="42">
        <v>0</v>
      </c>
      <c r="J195" s="29">
        <f t="shared" si="54"/>
        <v>822.04</v>
      </c>
      <c r="K195" s="19"/>
      <c r="L195" s="16"/>
    </row>
    <row r="196" spans="1:12" ht="15.6" customHeight="1" x14ac:dyDescent="0.3">
      <c r="A196" s="19"/>
      <c r="B196" s="19"/>
      <c r="C196" s="19"/>
      <c r="D196" s="46" t="s">
        <v>40</v>
      </c>
      <c r="E196" s="12"/>
      <c r="F196" s="2"/>
      <c r="G196" s="7"/>
      <c r="H196" s="17"/>
      <c r="I196" s="42"/>
      <c r="J196" s="29">
        <v>110.17</v>
      </c>
      <c r="K196" s="19"/>
      <c r="L196" s="16"/>
    </row>
    <row r="197" spans="1:12" x14ac:dyDescent="0.3">
      <c r="A197" s="1"/>
      <c r="B197" s="1"/>
      <c r="C197" s="1"/>
      <c r="D197" s="46"/>
      <c r="E197" s="12"/>
      <c r="F197" s="1"/>
      <c r="G197" s="1"/>
      <c r="H197" s="1"/>
      <c r="I197" s="1"/>
      <c r="J197" s="4">
        <f>SUM(J187:J196)</f>
        <v>9309.3799999999992</v>
      </c>
      <c r="K197" s="17">
        <v>1675.74</v>
      </c>
      <c r="L197" s="43">
        <f>J197+K197</f>
        <v>10985.119999999999</v>
      </c>
    </row>
    <row r="198" spans="1:12" x14ac:dyDescent="0.3">
      <c r="A198" s="36"/>
      <c r="B198" s="36"/>
      <c r="C198" s="36"/>
      <c r="D198" s="25"/>
      <c r="E198" s="37"/>
      <c r="F198" s="36"/>
      <c r="G198" s="36"/>
      <c r="H198" s="36"/>
      <c r="I198" s="36"/>
      <c r="J198" s="36"/>
      <c r="K198" s="36"/>
      <c r="L198" s="36"/>
    </row>
    <row r="199" spans="1:12" x14ac:dyDescent="0.3">
      <c r="A199" s="51">
        <v>46177</v>
      </c>
      <c r="B199" s="1" t="s">
        <v>12</v>
      </c>
      <c r="C199" s="1" t="s">
        <v>58</v>
      </c>
      <c r="D199" s="17" t="s">
        <v>151</v>
      </c>
      <c r="E199" s="12">
        <v>2150</v>
      </c>
      <c r="F199" s="2">
        <v>10</v>
      </c>
      <c r="G199" s="2">
        <v>1093.22</v>
      </c>
      <c r="H199" s="17">
        <f t="shared" ref="H199" si="56">SUM(G199*F199)</f>
        <v>10932.2</v>
      </c>
      <c r="I199" s="2">
        <v>0</v>
      </c>
      <c r="J199" s="29">
        <f t="shared" ref="J199" si="57">H199-I199</f>
        <v>10932.2</v>
      </c>
      <c r="K199" s="2"/>
      <c r="L199" s="2"/>
    </row>
    <row r="200" spans="1:12" x14ac:dyDescent="0.3">
      <c r="A200" s="1"/>
      <c r="B200" s="1"/>
      <c r="C200" s="1"/>
      <c r="D200" s="17"/>
      <c r="E200" s="12"/>
      <c r="F200" s="2"/>
      <c r="G200" s="2"/>
      <c r="H200" s="2"/>
      <c r="I200" s="2"/>
      <c r="J200" s="4">
        <f>SUM(J199)</f>
        <v>10932.2</v>
      </c>
      <c r="K200" s="2">
        <v>1967.8</v>
      </c>
      <c r="L200" s="43">
        <f>J200+K200</f>
        <v>12900</v>
      </c>
    </row>
    <row r="201" spans="1:12" x14ac:dyDescent="0.3">
      <c r="A201" s="36"/>
      <c r="B201" s="36"/>
      <c r="C201" s="36"/>
      <c r="D201" s="25"/>
      <c r="E201" s="37"/>
      <c r="F201" s="31"/>
      <c r="G201" s="31"/>
      <c r="H201" s="31"/>
      <c r="I201" s="31"/>
      <c r="J201" s="31"/>
      <c r="K201" s="31"/>
      <c r="L201" s="31"/>
    </row>
    <row r="202" spans="1:12" x14ac:dyDescent="0.3">
      <c r="A202" s="51">
        <v>46178</v>
      </c>
      <c r="B202" s="8" t="s">
        <v>11</v>
      </c>
      <c r="C202" s="1" t="s">
        <v>59</v>
      </c>
      <c r="D202" s="17" t="s">
        <v>152</v>
      </c>
      <c r="E202" s="12">
        <v>27000</v>
      </c>
      <c r="F202" s="2">
        <v>1</v>
      </c>
      <c r="G202" s="2">
        <v>22881.37</v>
      </c>
      <c r="H202" s="17">
        <f t="shared" ref="H202" si="58">SUM(G202*F202)</f>
        <v>22881.37</v>
      </c>
      <c r="I202" s="2">
        <v>0</v>
      </c>
      <c r="J202" s="29">
        <f t="shared" ref="J202" si="59">H202-I202</f>
        <v>22881.37</v>
      </c>
      <c r="K202" s="2"/>
      <c r="L202" s="2"/>
    </row>
    <row r="203" spans="1:12" x14ac:dyDescent="0.3">
      <c r="A203" s="1"/>
      <c r="B203" s="1"/>
      <c r="C203" s="1"/>
      <c r="D203" s="17" t="s">
        <v>152</v>
      </c>
      <c r="E203" s="12">
        <v>27000</v>
      </c>
      <c r="F203" s="2">
        <v>1</v>
      </c>
      <c r="G203" s="2">
        <v>0</v>
      </c>
      <c r="H203" s="2">
        <v>0</v>
      </c>
      <c r="I203" s="2">
        <v>0</v>
      </c>
      <c r="J203" s="2">
        <v>0.01</v>
      </c>
      <c r="K203" s="2"/>
      <c r="L203" s="2"/>
    </row>
    <row r="204" spans="1:12" x14ac:dyDescent="0.3">
      <c r="A204" s="1"/>
      <c r="B204" s="1"/>
      <c r="C204" s="1"/>
      <c r="D204" s="17"/>
      <c r="E204" s="12"/>
      <c r="F204" s="2"/>
      <c r="G204" s="2"/>
      <c r="H204" s="2"/>
      <c r="I204" s="2"/>
      <c r="J204" s="4">
        <f>SUM(J202:J203)</f>
        <v>22881.379999999997</v>
      </c>
      <c r="K204" s="2">
        <v>4118.54</v>
      </c>
      <c r="L204" s="4">
        <f>J204+K204</f>
        <v>26999.919999999998</v>
      </c>
    </row>
    <row r="205" spans="1:12" x14ac:dyDescent="0.3">
      <c r="A205" s="36"/>
      <c r="B205" s="36"/>
      <c r="C205" s="36"/>
      <c r="D205" s="25"/>
      <c r="E205" s="36"/>
      <c r="F205" s="31"/>
      <c r="G205" s="31"/>
      <c r="H205" s="31"/>
      <c r="I205" s="31"/>
      <c r="J205" s="31"/>
      <c r="K205" s="31"/>
      <c r="L205" s="37"/>
    </row>
    <row r="206" spans="1:12" x14ac:dyDescent="0.3">
      <c r="A206" s="51">
        <v>46188</v>
      </c>
      <c r="B206" s="1" t="s">
        <v>75</v>
      </c>
      <c r="C206" s="1" t="s">
        <v>76</v>
      </c>
      <c r="D206" s="17" t="s">
        <v>153</v>
      </c>
      <c r="E206" s="12">
        <v>2600</v>
      </c>
      <c r="F206" s="2">
        <v>3</v>
      </c>
      <c r="G206" s="2">
        <v>1432.2</v>
      </c>
      <c r="H206" s="17">
        <f t="shared" ref="H206" si="60">SUM(G206*F206)</f>
        <v>4296.6000000000004</v>
      </c>
      <c r="I206" s="2">
        <v>0</v>
      </c>
      <c r="J206" s="29">
        <f t="shared" ref="J206" si="61">H206-I206</f>
        <v>4296.6000000000004</v>
      </c>
      <c r="K206" s="2"/>
      <c r="L206" s="4"/>
    </row>
    <row r="207" spans="1:12" x14ac:dyDescent="0.3">
      <c r="A207" s="1"/>
      <c r="B207" s="1"/>
      <c r="C207" s="1"/>
      <c r="D207" s="46"/>
      <c r="E207" s="12"/>
      <c r="F207" s="2"/>
      <c r="G207" s="2"/>
      <c r="H207" s="2"/>
      <c r="I207" s="2"/>
      <c r="J207" s="4">
        <f>SUM(J206)</f>
        <v>4296.6000000000004</v>
      </c>
      <c r="K207" s="2">
        <v>773.38</v>
      </c>
      <c r="L207" s="4">
        <f>J207+K207</f>
        <v>5069.9800000000005</v>
      </c>
    </row>
    <row r="208" spans="1:12" x14ac:dyDescent="0.3">
      <c r="A208" s="36"/>
      <c r="B208" s="36"/>
      <c r="C208" s="36"/>
      <c r="D208" s="25"/>
      <c r="E208" s="37"/>
      <c r="F208" s="31"/>
      <c r="G208" s="31"/>
      <c r="H208" s="31"/>
      <c r="I208" s="31"/>
      <c r="J208" s="31"/>
      <c r="K208" s="31"/>
      <c r="L208" s="31"/>
    </row>
    <row r="209" spans="1:12" x14ac:dyDescent="0.3">
      <c r="A209" s="51">
        <v>46188</v>
      </c>
      <c r="B209" s="8" t="s">
        <v>11</v>
      </c>
      <c r="C209" s="1" t="s">
        <v>77</v>
      </c>
      <c r="D209" s="46" t="s">
        <v>154</v>
      </c>
      <c r="E209" s="12">
        <v>1975</v>
      </c>
      <c r="F209" s="2">
        <v>3</v>
      </c>
      <c r="G209" s="2">
        <v>1317.14</v>
      </c>
      <c r="H209" s="17">
        <f t="shared" ref="H209:H212" si="62">SUM(G209*F209)</f>
        <v>3951.42</v>
      </c>
      <c r="I209" s="2">
        <v>0</v>
      </c>
      <c r="J209" s="29">
        <f t="shared" ref="J209:J212" si="63">H209-I209</f>
        <v>3951.42</v>
      </c>
      <c r="K209" s="2"/>
      <c r="L209" s="2"/>
    </row>
    <row r="210" spans="1:12" x14ac:dyDescent="0.3">
      <c r="A210" s="1"/>
      <c r="B210" s="1"/>
      <c r="C210" s="1"/>
      <c r="D210" s="46" t="s">
        <v>155</v>
      </c>
      <c r="E210" s="12">
        <v>2100</v>
      </c>
      <c r="F210" s="2">
        <v>3</v>
      </c>
      <c r="G210" s="2">
        <v>1245.76</v>
      </c>
      <c r="H210" s="17">
        <f t="shared" si="62"/>
        <v>3737.2799999999997</v>
      </c>
      <c r="I210" s="2">
        <v>0</v>
      </c>
      <c r="J210" s="29">
        <f t="shared" si="63"/>
        <v>3737.2799999999997</v>
      </c>
      <c r="K210" s="2"/>
      <c r="L210" s="2"/>
    </row>
    <row r="211" spans="1:12" x14ac:dyDescent="0.3">
      <c r="A211" s="1"/>
      <c r="B211" s="1"/>
      <c r="C211" s="1"/>
      <c r="D211" s="73" t="s">
        <v>156</v>
      </c>
      <c r="E211" s="12">
        <v>1695</v>
      </c>
      <c r="F211" s="2">
        <v>2</v>
      </c>
      <c r="G211" s="2">
        <v>1130.48</v>
      </c>
      <c r="H211" s="17">
        <f t="shared" si="62"/>
        <v>2260.96</v>
      </c>
      <c r="I211" s="2">
        <v>0</v>
      </c>
      <c r="J211" s="29">
        <f t="shared" si="63"/>
        <v>2260.96</v>
      </c>
      <c r="K211" s="2"/>
      <c r="L211" s="2"/>
    </row>
    <row r="212" spans="1:12" x14ac:dyDescent="0.3">
      <c r="A212" s="1"/>
      <c r="B212" s="1"/>
      <c r="C212" s="1"/>
      <c r="D212" s="73" t="s">
        <v>157</v>
      </c>
      <c r="E212" s="12">
        <v>1800</v>
      </c>
      <c r="F212" s="2">
        <v>2</v>
      </c>
      <c r="G212" s="2">
        <v>1067.8</v>
      </c>
      <c r="H212" s="17">
        <f t="shared" si="62"/>
        <v>2135.6</v>
      </c>
      <c r="I212" s="2">
        <v>0</v>
      </c>
      <c r="J212" s="29">
        <f t="shared" si="63"/>
        <v>2135.6</v>
      </c>
      <c r="K212" s="2"/>
      <c r="L212" s="2"/>
    </row>
    <row r="213" spans="1:12" x14ac:dyDescent="0.3">
      <c r="A213" s="1"/>
      <c r="B213" s="1"/>
      <c r="C213" s="1"/>
      <c r="D213" s="46"/>
      <c r="E213" s="12"/>
      <c r="F213" s="2"/>
      <c r="G213" s="2"/>
      <c r="H213" s="2"/>
      <c r="I213" s="2"/>
      <c r="J213" s="4">
        <f>SUM(J209:J212)</f>
        <v>12085.26</v>
      </c>
      <c r="K213" s="2">
        <v>1367.74</v>
      </c>
      <c r="L213" s="4">
        <f>J213+K213</f>
        <v>13453</v>
      </c>
    </row>
    <row r="214" spans="1:12" x14ac:dyDescent="0.3">
      <c r="A214" s="36"/>
      <c r="B214" s="36"/>
      <c r="C214" s="36"/>
      <c r="D214" s="25"/>
      <c r="E214" s="37"/>
      <c r="F214" s="36"/>
      <c r="G214" s="31"/>
      <c r="H214" s="31"/>
      <c r="I214" s="31"/>
      <c r="J214" s="31"/>
      <c r="K214" s="31"/>
      <c r="L214" s="31"/>
    </row>
    <row r="215" spans="1:12" x14ac:dyDescent="0.3">
      <c r="A215" s="1"/>
      <c r="B215" s="1"/>
      <c r="C215" s="1"/>
      <c r="D215" s="46"/>
      <c r="E215" s="12"/>
      <c r="F215" s="1"/>
      <c r="G215" s="2">
        <f>SUM(G3:G214)</f>
        <v>199386.58000000005</v>
      </c>
      <c r="H215" s="2">
        <f>SUM(H3:H214)</f>
        <v>645799.73000000033</v>
      </c>
      <c r="I215" s="2">
        <f>SUM(I2:I214)</f>
        <v>97549.850775999992</v>
      </c>
      <c r="J215" s="1"/>
      <c r="K215" s="1"/>
      <c r="L215" s="1"/>
    </row>
    <row r="216" spans="1:12" x14ac:dyDescent="0.3">
      <c r="A216" s="71" t="s">
        <v>158</v>
      </c>
      <c r="B216" s="71"/>
      <c r="C216" s="71"/>
      <c r="D216" s="71"/>
      <c r="E216" s="71"/>
      <c r="F216" s="71"/>
      <c r="G216" s="71"/>
      <c r="H216" s="71"/>
      <c r="I216" s="71"/>
      <c r="J216" s="71"/>
      <c r="K216" s="56">
        <f>SUM(K3:K215)</f>
        <v>92874.703160000005</v>
      </c>
      <c r="L216" s="56">
        <f>SUM(L3:L215)</f>
        <v>643512.78238400014</v>
      </c>
    </row>
    <row r="217" spans="1:12" x14ac:dyDescent="0.3">
      <c r="A217" s="1"/>
      <c r="B217" s="1"/>
      <c r="C217" s="1"/>
      <c r="D217" s="46"/>
      <c r="E217" s="12"/>
      <c r="F217" s="1"/>
      <c r="G217" s="1"/>
      <c r="H217" s="1"/>
      <c r="I217" s="1"/>
      <c r="J217" s="1"/>
      <c r="K217" s="1"/>
      <c r="L217" s="1"/>
    </row>
    <row r="218" spans="1:12" x14ac:dyDescent="0.3">
      <c r="A218" s="1"/>
      <c r="B218" s="57" t="s">
        <v>160</v>
      </c>
      <c r="C218" s="58">
        <f>L216-K216</f>
        <v>550638.0792240001</v>
      </c>
      <c r="D218" s="46"/>
      <c r="E218" s="12"/>
      <c r="F218" s="1"/>
      <c r="H218" s="1">
        <f>H215-I215</f>
        <v>548249.87922400038</v>
      </c>
      <c r="I218" s="1">
        <f>L216-I215</f>
        <v>545962.93160800019</v>
      </c>
      <c r="J218" s="1"/>
      <c r="K218" s="1"/>
      <c r="L218" s="1"/>
    </row>
    <row r="219" spans="1:12" x14ac:dyDescent="0.3">
      <c r="A219" s="1"/>
      <c r="B219" s="57" t="s">
        <v>159</v>
      </c>
      <c r="C219" s="58">
        <f>L216</f>
        <v>643512.78238400014</v>
      </c>
      <c r="D219" s="46"/>
      <c r="E219" s="12"/>
      <c r="F219" s="1"/>
      <c r="G219" s="1"/>
      <c r="H219" s="1"/>
      <c r="I219" s="1"/>
      <c r="J219" s="1"/>
      <c r="K219" s="1"/>
      <c r="L219" s="1"/>
    </row>
    <row r="220" spans="1:12" x14ac:dyDescent="0.3">
      <c r="A220" s="1"/>
      <c r="B220" s="69" t="s">
        <v>173</v>
      </c>
      <c r="C220" s="70">
        <f>K216</f>
        <v>92874.703160000005</v>
      </c>
      <c r="D220" s="46"/>
      <c r="E220" s="12"/>
      <c r="F220" s="1"/>
      <c r="G220" s="1"/>
      <c r="H220" s="1"/>
      <c r="I220" s="1"/>
      <c r="J220" s="1"/>
      <c r="K220" s="1"/>
      <c r="L220" s="1"/>
    </row>
    <row r="221" spans="1:12" x14ac:dyDescent="0.3">
      <c r="A221" s="1"/>
      <c r="B221" s="1"/>
      <c r="C221" s="1"/>
      <c r="D221" s="46"/>
      <c r="E221" s="12"/>
      <c r="F221" s="1"/>
      <c r="G221" s="1"/>
      <c r="I221" s="1"/>
      <c r="J221" s="1"/>
      <c r="K221" s="1"/>
      <c r="L221" s="1"/>
    </row>
    <row r="222" spans="1:12" x14ac:dyDescent="0.3">
      <c r="A222" s="1"/>
      <c r="B222" s="1"/>
      <c r="C222" s="1"/>
      <c r="D222" s="46"/>
      <c r="E222" s="1"/>
      <c r="F222" s="1"/>
      <c r="G222" s="1"/>
      <c r="H222" s="1"/>
      <c r="I222" s="1"/>
      <c r="J222" s="1"/>
      <c r="K222" s="1"/>
      <c r="L222" s="1"/>
    </row>
    <row r="223" spans="1:12" x14ac:dyDescent="0.3">
      <c r="A223" s="1"/>
      <c r="B223" s="1"/>
      <c r="C223" s="1"/>
      <c r="D223" s="46"/>
      <c r="E223" s="1"/>
      <c r="F223" s="1"/>
      <c r="G223" s="1"/>
      <c r="H223" s="1"/>
      <c r="I223" s="1"/>
      <c r="J223" s="1"/>
      <c r="K223" s="1"/>
      <c r="L223" s="1"/>
    </row>
    <row r="224" spans="1:12" x14ac:dyDescent="0.3">
      <c r="A224" s="1"/>
      <c r="B224" s="1"/>
      <c r="C224" s="1"/>
      <c r="D224" s="46"/>
      <c r="E224" s="1"/>
      <c r="F224" s="1"/>
      <c r="G224" s="1"/>
      <c r="H224" s="1"/>
      <c r="I224" s="1"/>
      <c r="J224" s="1"/>
      <c r="K224" s="1"/>
      <c r="L224" s="1"/>
    </row>
    <row r="225" spans="1:12" x14ac:dyDescent="0.3">
      <c r="A225" s="1"/>
      <c r="B225" s="1"/>
      <c r="C225" s="1"/>
      <c r="D225" s="46"/>
      <c r="E225" s="1"/>
      <c r="F225" s="1"/>
      <c r="G225" s="1"/>
      <c r="H225" s="1"/>
      <c r="I225" s="1"/>
      <c r="J225" s="1"/>
      <c r="K225" s="1"/>
      <c r="L225" s="1"/>
    </row>
    <row r="226" spans="1:12" x14ac:dyDescent="0.3">
      <c r="A226" s="1"/>
      <c r="B226" s="1"/>
      <c r="C226" s="1"/>
      <c r="D226" s="46"/>
      <c r="E226" s="1"/>
      <c r="F226" s="1"/>
      <c r="G226" s="1"/>
      <c r="H226" s="1"/>
      <c r="I226" s="1"/>
      <c r="J226" s="1"/>
      <c r="K226" s="1"/>
      <c r="L226" s="1"/>
    </row>
    <row r="227" spans="1:12" x14ac:dyDescent="0.3">
      <c r="A227" s="1"/>
      <c r="B227" s="1"/>
      <c r="C227" s="1"/>
      <c r="D227" s="46"/>
      <c r="E227" s="1"/>
      <c r="F227" s="1"/>
      <c r="G227" s="1"/>
      <c r="H227" s="1"/>
      <c r="I227" s="1"/>
      <c r="J227" s="1"/>
      <c r="K227" s="1"/>
      <c r="L227" s="1"/>
    </row>
    <row r="228" spans="1:12" x14ac:dyDescent="0.3">
      <c r="A228" s="1"/>
      <c r="B228" s="1"/>
      <c r="C228" s="1"/>
      <c r="D228" s="46"/>
      <c r="E228" s="1"/>
      <c r="F228" s="1"/>
      <c r="G228" s="1"/>
      <c r="H228" s="1"/>
      <c r="I228" s="1"/>
      <c r="J228" s="1"/>
      <c r="K228" s="1"/>
      <c r="L228" s="1"/>
    </row>
    <row r="229" spans="1:12" x14ac:dyDescent="0.3">
      <c r="A229" s="1"/>
      <c r="B229" s="1"/>
      <c r="C229" s="1"/>
      <c r="D229" s="46"/>
      <c r="E229" s="1"/>
      <c r="F229" s="1"/>
      <c r="G229" s="1"/>
      <c r="H229" s="1"/>
      <c r="I229" s="1"/>
      <c r="J229" s="1"/>
      <c r="K229" s="1"/>
      <c r="L229" s="1"/>
    </row>
    <row r="230" spans="1:12" x14ac:dyDescent="0.3">
      <c r="A230" s="1"/>
      <c r="B230" s="1"/>
      <c r="C230" s="1"/>
      <c r="D230" s="46"/>
      <c r="E230" s="1"/>
      <c r="F230" s="1"/>
      <c r="G230" s="1"/>
      <c r="H230" s="1"/>
      <c r="I230" s="1"/>
      <c r="J230" s="1"/>
      <c r="K230" s="1"/>
      <c r="L230" s="1"/>
    </row>
    <row r="231" spans="1:12" x14ac:dyDescent="0.3">
      <c r="A231" s="1"/>
      <c r="B231" s="1"/>
      <c r="C231" s="1"/>
      <c r="D231" s="46"/>
      <c r="E231" s="1"/>
      <c r="F231" s="1"/>
      <c r="G231" s="1"/>
      <c r="H231" s="1"/>
      <c r="I231" s="1"/>
      <c r="J231" s="1"/>
      <c r="K231" s="1"/>
      <c r="L231" s="1"/>
    </row>
    <row r="232" spans="1:12" x14ac:dyDescent="0.3">
      <c r="A232" s="1"/>
      <c r="B232" s="1"/>
      <c r="C232" s="1"/>
      <c r="D232" s="46"/>
      <c r="E232" s="1"/>
      <c r="F232" s="1"/>
      <c r="G232" s="1"/>
      <c r="H232" s="1"/>
      <c r="I232" s="1"/>
      <c r="J232" s="1"/>
      <c r="K232" s="1"/>
      <c r="L232" s="1"/>
    </row>
  </sheetData>
  <mergeCells count="1">
    <mergeCell ref="A216:J216"/>
  </mergeCells>
  <pageMargins left="0.7" right="0.7" top="0.75" bottom="0.75" header="0.3" footer="0.3"/>
  <pageSetup scale="66" orientation="portrait" r:id="rId1"/>
  <ignoredErrors>
    <ignoredError sqref="I98 I14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 List</vt:lpstr>
      <vt:lpstr>'Stock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macbello</dc:creator>
  <cp:lastModifiedBy>macbello</cp:lastModifiedBy>
  <cp:lastPrinted>2026-05-30T12:30:16Z</cp:lastPrinted>
  <dcterms:created xsi:type="dcterms:W3CDTF">2026-05-30T12:09:37Z</dcterms:created>
  <dcterms:modified xsi:type="dcterms:W3CDTF">2026-06-24T06:48:28Z</dcterms:modified>
</cp:coreProperties>
</file>